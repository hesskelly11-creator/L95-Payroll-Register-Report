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hess/Downloads/"/>
    </mc:Choice>
  </mc:AlternateContent>
  <xr:revisionPtr revIDLastSave="0" documentId="8_{4CA89FA9-C141-AA42-BAC6-BD125DF65B3F}" xr6:coauthVersionLast="47" xr6:coauthVersionMax="47" xr10:uidLastSave="{00000000-0000-0000-0000-000000000000}"/>
  <bookViews>
    <workbookView xWindow="-120" yWindow="760" windowWidth="38640" windowHeight="17160" activeTab="1" xr2:uid="{00000000-000D-0000-FFFF-FFFF00000000}"/>
  </bookViews>
  <sheets>
    <sheet name="Original" sheetId="1" r:id="rId1"/>
    <sheet name="Filter" sheetId="2" r:id="rId2"/>
    <sheet name="Union Dues" sheetId="5" r:id="rId3"/>
    <sheet name="Vision" sheetId="6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" i="2" l="1"/>
  <c r="H26" i="2" l="1"/>
  <c r="H143" i="2"/>
  <c r="H13" i="2"/>
  <c r="H14" i="2"/>
  <c r="H17" i="2"/>
  <c r="H18" i="2"/>
  <c r="H19" i="2"/>
  <c r="H20" i="2"/>
  <c r="H21" i="2"/>
  <c r="H23" i="2"/>
  <c r="H24" i="2"/>
  <c r="H33" i="2"/>
  <c r="H35" i="2"/>
  <c r="H37" i="2"/>
  <c r="H39" i="2"/>
  <c r="H40" i="2"/>
  <c r="H41" i="2"/>
  <c r="H42" i="2"/>
  <c r="H43" i="2"/>
  <c r="H44" i="2"/>
  <c r="H45" i="2"/>
  <c r="H46" i="2"/>
  <c r="H47" i="2"/>
  <c r="H49" i="2"/>
  <c r="H50" i="2"/>
  <c r="H51" i="2"/>
  <c r="H52" i="2"/>
  <c r="H54" i="2"/>
  <c r="H55" i="2"/>
  <c r="H57" i="2"/>
  <c r="H58" i="2"/>
  <c r="H59" i="2"/>
  <c r="H60" i="2"/>
  <c r="H61" i="2"/>
  <c r="H62" i="2"/>
  <c r="H64" i="2"/>
  <c r="H65" i="2"/>
  <c r="H66" i="2"/>
  <c r="H68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6" i="2"/>
  <c r="H88" i="2"/>
  <c r="H91" i="2"/>
  <c r="H92" i="2"/>
  <c r="H93" i="2"/>
  <c r="H94" i="2"/>
  <c r="H95" i="2"/>
  <c r="H97" i="2"/>
  <c r="H98" i="2"/>
  <c r="H100" i="2"/>
  <c r="H101" i="2"/>
  <c r="H102" i="2"/>
  <c r="H103" i="2"/>
  <c r="H104" i="2"/>
  <c r="H105" i="2"/>
  <c r="H106" i="2"/>
  <c r="H108" i="2"/>
  <c r="H109" i="2"/>
  <c r="H110" i="2"/>
  <c r="H111" i="2"/>
  <c r="H112" i="2"/>
  <c r="H113" i="2"/>
  <c r="H114" i="2"/>
  <c r="H116" i="2"/>
  <c r="H117" i="2"/>
  <c r="H118" i="2"/>
  <c r="H120" i="2"/>
  <c r="H122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40" i="2"/>
  <c r="H142" i="2"/>
  <c r="H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8" i="2"/>
  <c r="G109" i="2"/>
  <c r="G110" i="2"/>
  <c r="G111" i="2"/>
  <c r="G112" i="2"/>
  <c r="G113" i="2"/>
  <c r="G114" i="2"/>
  <c r="G115" i="2"/>
  <c r="G116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1" i="2"/>
</calcChain>
</file>

<file path=xl/sharedStrings.xml><?xml version="1.0" encoding="utf-8"?>
<sst xmlns="http://schemas.openxmlformats.org/spreadsheetml/2006/main" count="3151" uniqueCount="868">
  <si>
    <t>Payroll Register General Excel</t>
  </si>
  <si>
    <t>Country</t>
  </si>
  <si>
    <t>United States of America</t>
  </si>
  <si>
    <t>Period</t>
  </si>
  <si>
    <t>03/23/2026 - 04/05/2026  (Biweekly)</t>
  </si>
  <si>
    <t>Pay Group</t>
  </si>
  <si>
    <t>Union Local 95 (USD)</t>
  </si>
  <si>
    <t>Organizations</t>
  </si>
  <si>
    <t>Carnegie Mellon University</t>
  </si>
  <si>
    <t>Include Subordinate Organizations</t>
  </si>
  <si>
    <t>No</t>
  </si>
  <si>
    <t>Status</t>
  </si>
  <si>
    <t>Worker</t>
  </si>
  <si>
    <t>Payment</t>
  </si>
  <si>
    <t>Employee ID</t>
  </si>
  <si>
    <t>First Name</t>
  </si>
  <si>
    <t>Last Name</t>
  </si>
  <si>
    <t>Cost Center</t>
  </si>
  <si>
    <t>Hire Date</t>
  </si>
  <si>
    <t>Separation Date</t>
  </si>
  <si>
    <t>Annual Salary</t>
  </si>
  <si>
    <t>Hourly Rate</t>
  </si>
  <si>
    <t>Basic Salary</t>
  </si>
  <si>
    <t>Basic Wages</t>
  </si>
  <si>
    <t>Bonus</t>
  </si>
  <si>
    <t>Taxable Payment</t>
  </si>
  <si>
    <t>Commission</t>
  </si>
  <si>
    <t>Overtime</t>
  </si>
  <si>
    <t>Holiday Pay</t>
  </si>
  <si>
    <t>Vacation Pay</t>
  </si>
  <si>
    <t>Non Cash Taxable Payment</t>
  </si>
  <si>
    <t>Non Taxable Payment</t>
  </si>
  <si>
    <t>Loan Payment</t>
  </si>
  <si>
    <t>Advance Payment</t>
  </si>
  <si>
    <t>Earnings Total</t>
  </si>
  <si>
    <t>Loan Recovery</t>
  </si>
  <si>
    <t>Advance Recovery</t>
  </si>
  <si>
    <t>Employee Pension</t>
  </si>
  <si>
    <t>Gross Pay</t>
  </si>
  <si>
    <t>Net Pay</t>
  </si>
  <si>
    <t>Method</t>
  </si>
  <si>
    <t>Payment Amount</t>
  </si>
  <si>
    <t>Employer Pension</t>
  </si>
  <si>
    <t>Other Employer Cost</t>
  </si>
  <si>
    <t>afohl</t>
  </si>
  <si>
    <t>Adam</t>
  </si>
  <si>
    <t>Fohl</t>
  </si>
  <si>
    <t>530302 FMS OPERATIONS - STRUCTURAL SHOP</t>
  </si>
  <si>
    <t>apifer</t>
  </si>
  <si>
    <t>Aaron</t>
  </si>
  <si>
    <t>Pifer</t>
  </si>
  <si>
    <t>530308 FMS OPERATIONS - CRAIG ST</t>
  </si>
  <si>
    <t>asantavi</t>
  </si>
  <si>
    <t>Tony</t>
  </si>
  <si>
    <t>Santavicca</t>
  </si>
  <si>
    <t>530309 FMS OPERATIONS - FORBES</t>
  </si>
  <si>
    <t>bg2m</t>
  </si>
  <si>
    <t>Brent</t>
  </si>
  <si>
    <t>Grafton</t>
  </si>
  <si>
    <t>530317 FMS OPERATIONS - WEST CAMPUS</t>
  </si>
  <si>
    <t>bg2n</t>
  </si>
  <si>
    <t>Bruce</t>
  </si>
  <si>
    <t>Grafton</t>
  </si>
  <si>
    <t>530303 FMS OPERATIONS - SECOND SHIFT</t>
  </si>
  <si>
    <t>bhartran</t>
  </si>
  <si>
    <t>Ben</t>
  </si>
  <si>
    <t>Hartranft</t>
  </si>
  <si>
    <t>530304 FMS OPERATIONS - GARDENERS</t>
  </si>
  <si>
    <t>bl88</t>
  </si>
  <si>
    <t>William</t>
  </si>
  <si>
    <t>Lambert</t>
  </si>
  <si>
    <t>530308 FMS OPERATIONS - CRAIG ST</t>
  </si>
  <si>
    <t>bmahan</t>
  </si>
  <si>
    <t>Brennan</t>
  </si>
  <si>
    <t>Mahan</t>
  </si>
  <si>
    <t>530305 FMS OPERATIONS - HOUSING MAINTENANCE</t>
  </si>
  <si>
    <t>bruffing</t>
  </si>
  <si>
    <t>Bruce</t>
  </si>
  <si>
    <t>Ruffing</t>
  </si>
  <si>
    <t>530305 FMS OPERATIONS - HOUSING MAINTENANCE</t>
  </si>
  <si>
    <t>bswiech</t>
  </si>
  <si>
    <t>Brandon</t>
  </si>
  <si>
    <t>Swiech</t>
  </si>
  <si>
    <t>530301 FMS OPERATIONS - MEP</t>
  </si>
  <si>
    <t>btomlins</t>
  </si>
  <si>
    <t>Brian</t>
  </si>
  <si>
    <t>Tomlinson</t>
  </si>
  <si>
    <t>530308 FMS OPERATIONS - CRAIG ST</t>
  </si>
  <si>
    <t>cbanga</t>
  </si>
  <si>
    <t>Chris</t>
  </si>
  <si>
    <t>Banga</t>
  </si>
  <si>
    <t>530319 FMS OPERATIONS - EAST ZONE</t>
  </si>
  <si>
    <t>cbrownin</t>
  </si>
  <si>
    <t>Connor</t>
  </si>
  <si>
    <t>Browning</t>
  </si>
  <si>
    <t>530303 FMS OPERATIONS - SECOND SHIFT</t>
  </si>
  <si>
    <t>ccaley</t>
  </si>
  <si>
    <t>Cody</t>
  </si>
  <si>
    <t>Caley</t>
  </si>
  <si>
    <t>530302 FMS OPERATIONS - STRUCTURAL SHOP</t>
  </si>
  <si>
    <t>ch02</t>
  </si>
  <si>
    <t>Chester</t>
  </si>
  <si>
    <t>Harper</t>
  </si>
  <si>
    <t>530305 FMS OPERATIONS - HOUSING MAINTENANCE</t>
  </si>
  <si>
    <t>cjmeyers</t>
  </si>
  <si>
    <t>Charles</t>
  </si>
  <si>
    <t>Meyers</t>
  </si>
  <si>
    <t>520110 CENTRAL RECEIVING</t>
  </si>
  <si>
    <t>cmaslank</t>
  </si>
  <si>
    <t>Craig</t>
  </si>
  <si>
    <t>Maslanka</t>
  </si>
  <si>
    <t>530311 FMS - NEW EMPLOYEE DEV</t>
  </si>
  <si>
    <t>cmassimi</t>
  </si>
  <si>
    <t>Chris</t>
  </si>
  <si>
    <t>Massimino</t>
  </si>
  <si>
    <t>530304 FMS OPERATIONS - GARDENERS</t>
  </si>
  <si>
    <t>cmcp</t>
  </si>
  <si>
    <t>Corey</t>
  </si>
  <si>
    <t>Mcpherson</t>
  </si>
  <si>
    <t>530304 FMS OPERATIONS - GARDENERS</t>
  </si>
  <si>
    <t>cnichols</t>
  </si>
  <si>
    <t>Christopher</t>
  </si>
  <si>
    <t>Nichols</t>
  </si>
  <si>
    <t>530304 FMS OPERATIONS - GARDENERS</t>
  </si>
  <si>
    <t>codycraw</t>
  </si>
  <si>
    <t>Cody</t>
  </si>
  <si>
    <t>Crawford</t>
  </si>
  <si>
    <t>530315 FMS OPERATIONS - STOREROOM/INVENTORY</t>
  </si>
  <si>
    <t>collinst</t>
  </si>
  <si>
    <t>Collin</t>
  </si>
  <si>
    <t>St.John</t>
  </si>
  <si>
    <t>530315 FMS OPERATIONS - STOREROOM/INVENTORY</t>
  </si>
  <si>
    <t>crha</t>
  </si>
  <si>
    <t>Craig</t>
  </si>
  <si>
    <t>Hahn</t>
  </si>
  <si>
    <t>530319 FMS OPERATIONS - EAST ZONE</t>
  </si>
  <si>
    <t>csrusso</t>
  </si>
  <si>
    <t>Christopher</t>
  </si>
  <si>
    <t>Russo</t>
  </si>
  <si>
    <t>530311 FMS - NEW EMPLOYEE DEV</t>
  </si>
  <si>
    <t>dbalesti</t>
  </si>
  <si>
    <t>Dru</t>
  </si>
  <si>
    <t>Balestino</t>
  </si>
  <si>
    <t>530303 FMS OPERATIONS - SECOND SHIFT</t>
  </si>
  <si>
    <t>dc04</t>
  </si>
  <si>
    <t>Donald</t>
  </si>
  <si>
    <t>Carrozza</t>
  </si>
  <si>
    <t>530302 FMS OPERATIONS - STRUCTURAL SHOP</t>
  </si>
  <si>
    <t>dennisp</t>
  </si>
  <si>
    <t>Dennis</t>
  </si>
  <si>
    <t>Procacina</t>
  </si>
  <si>
    <t>530304 FMS OPERATIONS - GARDENERS</t>
  </si>
  <si>
    <t>devonpal</t>
  </si>
  <si>
    <t>Devon</t>
  </si>
  <si>
    <t>Palma</t>
  </si>
  <si>
    <t>530302 FMS OPERATIONS - STRUCTURAL SHOP</t>
  </si>
  <si>
    <t>dg24</t>
  </si>
  <si>
    <t>R</t>
  </si>
  <si>
    <t>Garrard</t>
  </si>
  <si>
    <t>530302 FMS OPERATIONS - STRUCTURAL SHOP</t>
  </si>
  <si>
    <t>djs2</t>
  </si>
  <si>
    <t>David</t>
  </si>
  <si>
    <t>Saunders</t>
  </si>
  <si>
    <t>530319 FMS OPERATIONS - EAST ZONE</t>
  </si>
  <si>
    <t>dkickler</t>
  </si>
  <si>
    <t>Dustin</t>
  </si>
  <si>
    <t>Kickler</t>
  </si>
  <si>
    <t>530302 FMS OPERATIONS - STRUCTURAL SHOP</t>
  </si>
  <si>
    <t>dmurphy</t>
  </si>
  <si>
    <t>Donald</t>
  </si>
  <si>
    <t>Murphy</t>
  </si>
  <si>
    <t>530319 FMS OPERATIONS - EAST ZONE</t>
  </si>
  <si>
    <t>dnofi</t>
  </si>
  <si>
    <t>Dominic</t>
  </si>
  <si>
    <t>Nofi</t>
  </si>
  <si>
    <t>530319 FMS OPERATIONS - EAST ZONE</t>
  </si>
  <si>
    <t>dpikula</t>
  </si>
  <si>
    <t>Drew</t>
  </si>
  <si>
    <t>Pikula</t>
  </si>
  <si>
    <t>530302 FMS OPERATIONS - STRUCTURAL SHOP</t>
  </si>
  <si>
    <t>dr89</t>
  </si>
  <si>
    <t>David</t>
  </si>
  <si>
    <t>Reid</t>
  </si>
  <si>
    <t>530317 FMS OPERATIONS - WEST CAMPUS</t>
  </si>
  <si>
    <t>drobert1</t>
  </si>
  <si>
    <t>Dennis</t>
  </si>
  <si>
    <t>Roberts</t>
  </si>
  <si>
    <t>530319 FMS OPERATIONS - EAST ZONE</t>
  </si>
  <si>
    <t>dstu</t>
  </si>
  <si>
    <t>David</t>
  </si>
  <si>
    <t>Stubbs</t>
  </si>
  <si>
    <t>530317 FMS OPERATIONS - WEST CAMPUS</t>
  </si>
  <si>
    <t>ecurges</t>
  </si>
  <si>
    <t>Elijah</t>
  </si>
  <si>
    <t>Curges</t>
  </si>
  <si>
    <t>530311 FMS - NEW EMPLOYEE DEV</t>
  </si>
  <si>
    <t>em98</t>
  </si>
  <si>
    <t>Erik</t>
  </si>
  <si>
    <t>Martin</t>
  </si>
  <si>
    <t>530303 FMS OPERATIONS - SECOND SHIFT</t>
  </si>
  <si>
    <t>fmichals</t>
  </si>
  <si>
    <t>Franklin</t>
  </si>
  <si>
    <t>Michalski</t>
  </si>
  <si>
    <t>530317 FMS OPERATIONS - WEST CAMPUS</t>
  </si>
  <si>
    <t>fsta</t>
  </si>
  <si>
    <t>Frank</t>
  </si>
  <si>
    <t>Stanton</t>
  </si>
  <si>
    <t>530304 FMS OPERATIONS - GARDENERS</t>
  </si>
  <si>
    <t>ggregg</t>
  </si>
  <si>
    <t>Gary</t>
  </si>
  <si>
    <t>Gregg</t>
  </si>
  <si>
    <t>530311 FMS - NEW EMPLOYEE DEV</t>
  </si>
  <si>
    <t>glb1</t>
  </si>
  <si>
    <t>Jerry</t>
  </si>
  <si>
    <t>LoBianco</t>
  </si>
  <si>
    <t>530319 FMS OPERATIONS - EAST ZONE</t>
  </si>
  <si>
    <t>gwb</t>
  </si>
  <si>
    <t>George</t>
  </si>
  <si>
    <t>Bullitt</t>
  </si>
  <si>
    <t>530303 FMS OPERATIONS - SECOND SHIFT</t>
  </si>
  <si>
    <t>gwwalker</t>
  </si>
  <si>
    <t>Gary</t>
  </si>
  <si>
    <t>Walker</t>
  </si>
  <si>
    <t>530302 FMS OPERATIONS - STRUCTURAL SHOP</t>
  </si>
  <si>
    <t>harryhen</t>
  </si>
  <si>
    <t>Harry</t>
  </si>
  <si>
    <t>Henry</t>
  </si>
  <si>
    <t>530303 FMS OPERATIONS - SECOND SHIFT</t>
  </si>
  <si>
    <t>hs1k</t>
  </si>
  <si>
    <t>Harry</t>
  </si>
  <si>
    <t>Steele</t>
  </si>
  <si>
    <t>530317 FMS OPERATIONS - WEST CAMPUS</t>
  </si>
  <si>
    <t>imatejci</t>
  </si>
  <si>
    <t>Ivan</t>
  </si>
  <si>
    <t>Matejcic</t>
  </si>
  <si>
    <t>530317 FMS OPERATIONS - WEST CAMPUS</t>
  </si>
  <si>
    <t>jacobsab</t>
  </si>
  <si>
    <t>Jacob</t>
  </si>
  <si>
    <t>Sabo</t>
  </si>
  <si>
    <t>530317 FMS OPERATIONS - WEST CAMPUS</t>
  </si>
  <si>
    <t>jacobsco</t>
  </si>
  <si>
    <t>Jacob</t>
  </si>
  <si>
    <t>Scott</t>
  </si>
  <si>
    <t>530305 FMS OPERATIONS - HOUSING MAINTENANCE</t>
  </si>
  <si>
    <t>jall</t>
  </si>
  <si>
    <t>Jason</t>
  </si>
  <si>
    <t>Allen</t>
  </si>
  <si>
    <t>530309 FMS OPERATIONS - FORBES</t>
  </si>
  <si>
    <t>jama</t>
  </si>
  <si>
    <t>Jason</t>
  </si>
  <si>
    <t>Maloney</t>
  </si>
  <si>
    <t>530317 FMS OPERATIONS - WEST CAMPUS</t>
  </si>
  <si>
    <t>jameschr</t>
  </si>
  <si>
    <t>James</t>
  </si>
  <si>
    <t>Christopher</t>
  </si>
  <si>
    <t>530308 FMS OPERATIONS - CRAIG ST</t>
  </si>
  <si>
    <t>jamesmur</t>
  </si>
  <si>
    <t>James</t>
  </si>
  <si>
    <t>Murphy</t>
  </si>
  <si>
    <t>530308 FMS OPERATIONS - CRAIG ST</t>
  </si>
  <si>
    <t>jarlet</t>
  </si>
  <si>
    <t>John</t>
  </si>
  <si>
    <t>Arlet</t>
  </si>
  <si>
    <t>530302 FMS OPERATIONS - STRUCTURAL SHOP</t>
  </si>
  <si>
    <t>jb22</t>
  </si>
  <si>
    <t>Jeffrey</t>
  </si>
  <si>
    <t>Baird</t>
  </si>
  <si>
    <t>530308 FMS OPERATIONS - CRAIG ST</t>
  </si>
  <si>
    <t>jhba</t>
  </si>
  <si>
    <t>John</t>
  </si>
  <si>
    <t>Hesch</t>
  </si>
  <si>
    <t>530305 FMS OPERATIONS - HOUSING MAINTENANCE</t>
  </si>
  <si>
    <t>jhefflin</t>
  </si>
  <si>
    <t>Justin</t>
  </si>
  <si>
    <t>Hefflin</t>
  </si>
  <si>
    <t>530311 FMS - NEW EMPLOYEE DEV</t>
  </si>
  <si>
    <t>jl85</t>
  </si>
  <si>
    <t>James</t>
  </si>
  <si>
    <t>Lucas</t>
  </si>
  <si>
    <t>530302 FMS OPERATIONS - STRUCTURAL SHOP</t>
  </si>
  <si>
    <t>jonasm</t>
  </si>
  <si>
    <t>Jonas</t>
  </si>
  <si>
    <t>MacDonald</t>
  </si>
  <si>
    <t>530317 FMS OPERATIONS - WEST CAMPUS</t>
  </si>
  <si>
    <t>jpiacqua</t>
  </si>
  <si>
    <t>Joseph</t>
  </si>
  <si>
    <t>Piacquadio</t>
  </si>
  <si>
    <t>530305 FMS OPERATIONS - HOUSING MAINTENANCE</t>
  </si>
  <si>
    <t>jspochac</t>
  </si>
  <si>
    <t>Joseph</t>
  </si>
  <si>
    <t>Spochacz</t>
  </si>
  <si>
    <t>530305 FMS OPERATIONS - HOUSING MAINTENANCE</t>
  </si>
  <si>
    <t>jyuhasz</t>
  </si>
  <si>
    <t>Joshua</t>
  </si>
  <si>
    <t>Yuhasz</t>
  </si>
  <si>
    <t>530303 FMS OPERATIONS - SECOND SHIFT</t>
  </si>
  <si>
    <t>katiesch</t>
  </si>
  <si>
    <t>Katie</t>
  </si>
  <si>
    <t>Schuller</t>
  </si>
  <si>
    <t>530304 FMS OPERATIONS - GARDENERS</t>
  </si>
  <si>
    <t>kennyc</t>
  </si>
  <si>
    <t>Kenny</t>
  </si>
  <si>
    <t>Collins</t>
  </si>
  <si>
    <t>530303 FMS OPERATIONS - SECOND SHIFT</t>
  </si>
  <si>
    <t>kjoh</t>
  </si>
  <si>
    <t>Karl</t>
  </si>
  <si>
    <t>Johnson</t>
  </si>
  <si>
    <t>530303 FMS OPERATIONS - SECOND SHIFT</t>
  </si>
  <si>
    <t>ladner</t>
  </si>
  <si>
    <t>Mark</t>
  </si>
  <si>
    <t>Ladner</t>
  </si>
  <si>
    <t>530311 FMS - NEW EMPLOYEE DEV</t>
  </si>
  <si>
    <t>lsams</t>
  </si>
  <si>
    <t>Leyland</t>
  </si>
  <si>
    <t>Sams</t>
  </si>
  <si>
    <t>530308 FMS OPERATIONS - CRAIG ST</t>
  </si>
  <si>
    <t>markbaum</t>
  </si>
  <si>
    <t>Mark</t>
  </si>
  <si>
    <t>Baumgartel</t>
  </si>
  <si>
    <t>530311 FMS - NEW EMPLOYEE DEV</t>
  </si>
  <si>
    <t>mbpl</t>
  </si>
  <si>
    <t>Marc</t>
  </si>
  <si>
    <t>Baratka</t>
  </si>
  <si>
    <t>530303 FMS OPERATIONS - SECOND SHIFT</t>
  </si>
  <si>
    <t>mfife</t>
  </si>
  <si>
    <t>Michael</t>
  </si>
  <si>
    <t>Fife</t>
  </si>
  <si>
    <t>530309 FMS OPERATIONS - FORBES</t>
  </si>
  <si>
    <t>mfrantz</t>
  </si>
  <si>
    <t>Michael</t>
  </si>
  <si>
    <t>Frantz</t>
  </si>
  <si>
    <t>530304 FMS OPERATIONS - GARDENERS</t>
  </si>
  <si>
    <t>mg77</t>
  </si>
  <si>
    <t>Matthew</t>
  </si>
  <si>
    <t>Godlewski</t>
  </si>
  <si>
    <t>530309 FMS OPERATIONS - FORBES</t>
  </si>
  <si>
    <t>mgroman</t>
  </si>
  <si>
    <t>Matthew</t>
  </si>
  <si>
    <t>Groman</t>
  </si>
  <si>
    <t>530302 FMS OPERATIONS - STRUCTURAL SHOP</t>
  </si>
  <si>
    <t>mj2r</t>
  </si>
  <si>
    <t>Michael</t>
  </si>
  <si>
    <t>Jones</t>
  </si>
  <si>
    <t>530319 FMS OPERATIONS - EAST ZONE</t>
  </si>
  <si>
    <t>mk9a</t>
  </si>
  <si>
    <t>Michael</t>
  </si>
  <si>
    <t>Kalanish</t>
  </si>
  <si>
    <t>530302 FMS OPERATIONS - STRUCTURAL SHOP</t>
  </si>
  <si>
    <t>mkotyuk</t>
  </si>
  <si>
    <t>Matthew</t>
  </si>
  <si>
    <t>Kotyuk</t>
  </si>
  <si>
    <t>530304 FMS OPERATIONS - GARDENERS</t>
  </si>
  <si>
    <t>ml01</t>
  </si>
  <si>
    <t>Michael</t>
  </si>
  <si>
    <t>Lucas</t>
  </si>
  <si>
    <t>530319 FMS OPERATIONS - EAST ZONE</t>
  </si>
  <si>
    <t>ml78</t>
  </si>
  <si>
    <t>Michael</t>
  </si>
  <si>
    <t>Loew</t>
  </si>
  <si>
    <t>530304 FMS OPERATIONS - GARDENERS</t>
  </si>
  <si>
    <t>mnagy</t>
  </si>
  <si>
    <t>Mathew</t>
  </si>
  <si>
    <t>Nagy</t>
  </si>
  <si>
    <t>530319 FMS OPERATIONS - EAST ZONE</t>
  </si>
  <si>
    <t>mo31</t>
  </si>
  <si>
    <t>Mark</t>
  </si>
  <si>
    <t>Ondulich</t>
  </si>
  <si>
    <t>530302 FMS OPERATIONS - STRUCTURAL SHOP</t>
  </si>
  <si>
    <t>mp11</t>
  </si>
  <si>
    <t>Michael</t>
  </si>
  <si>
    <t>Papuga</t>
  </si>
  <si>
    <t>530308 FMS OPERATIONS - CRAIG ST</t>
  </si>
  <si>
    <t>mrock</t>
  </si>
  <si>
    <t>Michael</t>
  </si>
  <si>
    <t>Rock</t>
  </si>
  <si>
    <t>530319 FMS OPERATIONS - EAST ZONE</t>
  </si>
  <si>
    <t>ms01</t>
  </si>
  <si>
    <t>Robert</t>
  </si>
  <si>
    <t>Sullivan</t>
  </si>
  <si>
    <t>530302 FMS OPERATIONS - STRUCTURAL SHOP</t>
  </si>
  <si>
    <t>msjones</t>
  </si>
  <si>
    <t>Mark</t>
  </si>
  <si>
    <t>Jones</t>
  </si>
  <si>
    <t>530317 FMS OPERATIONS - WEST CAMPUS</t>
  </si>
  <si>
    <t>mtoniolo</t>
  </si>
  <si>
    <t>Mario</t>
  </si>
  <si>
    <t>Toniolo</t>
  </si>
  <si>
    <t>530304 FMS OPERATIONS - GARDENERS</t>
  </si>
  <si>
    <t>nhatala</t>
  </si>
  <si>
    <t>Nicholas</t>
  </si>
  <si>
    <t>Hatala</t>
  </si>
  <si>
    <t>530303 FMS OPERATIONS - SECOND SHIFT</t>
  </si>
  <si>
    <t>nholback</t>
  </si>
  <si>
    <t>Nathaniel</t>
  </si>
  <si>
    <t>Holback</t>
  </si>
  <si>
    <t>530304 FMS OPERATIONS - GARDENERS</t>
  </si>
  <si>
    <t>nrobbin2</t>
  </si>
  <si>
    <t>Nathaniel</t>
  </si>
  <si>
    <t>Robbins</t>
  </si>
  <si>
    <t>530309 FMS OPERATIONS - FORBES</t>
  </si>
  <si>
    <t>paulsimo</t>
  </si>
  <si>
    <t>Paul</t>
  </si>
  <si>
    <t>Simon</t>
  </si>
  <si>
    <t>530302 FMS OPERATIONS - STRUCTURAL SHOP</t>
  </si>
  <si>
    <t>rclarke</t>
  </si>
  <si>
    <t>Rick</t>
  </si>
  <si>
    <t>Clarke</t>
  </si>
  <si>
    <t>530309 FMS OPERATIONS - FORBES</t>
  </si>
  <si>
    <t>rcylenic</t>
  </si>
  <si>
    <t>Rory</t>
  </si>
  <si>
    <t>Cylenica</t>
  </si>
  <si>
    <t>530303 FMS OPERATIONS - SECOND SHIFT</t>
  </si>
  <si>
    <t>rdeighan</t>
  </si>
  <si>
    <t>Richard</t>
  </si>
  <si>
    <t>Deighan</t>
  </si>
  <si>
    <t>530308 FMS OPERATIONS - CRAIG ST</t>
  </si>
  <si>
    <t>rdrr</t>
  </si>
  <si>
    <t>Richard</t>
  </si>
  <si>
    <t>Reinsfelder</t>
  </si>
  <si>
    <t>530302 FMS OPERATIONS - STRUCTURAL SHOP</t>
  </si>
  <si>
    <t>rh4y</t>
  </si>
  <si>
    <t>Rodney</t>
  </si>
  <si>
    <t>Hickman</t>
  </si>
  <si>
    <t>530302 FMS OPERATIONS - STRUCTURAL SHOP</t>
  </si>
  <si>
    <t>robertwe</t>
  </si>
  <si>
    <t>Robert</t>
  </si>
  <si>
    <t>West</t>
  </si>
  <si>
    <t>530303 FMS OPERATIONS - SECOND SHIFT</t>
  </si>
  <si>
    <t>robertyo</t>
  </si>
  <si>
    <t>Robert</t>
  </si>
  <si>
    <t>Young</t>
  </si>
  <si>
    <t>530319 FMS OPERATIONS - EAST ZONE</t>
  </si>
  <si>
    <t>rrutten</t>
  </si>
  <si>
    <t>Bob</t>
  </si>
  <si>
    <t>Rutten</t>
  </si>
  <si>
    <t>530301 FMS OPERATIONS - MEP</t>
  </si>
  <si>
    <t>rschaffe</t>
  </si>
  <si>
    <t>Richard</t>
  </si>
  <si>
    <t>Schaffer</t>
  </si>
  <si>
    <t>530302 FMS OPERATIONS - STRUCTURAL SHOP</t>
  </si>
  <si>
    <t>rvardzel</t>
  </si>
  <si>
    <t>Richard</t>
  </si>
  <si>
    <t>Vardzel</t>
  </si>
  <si>
    <t>530305 FMS OPERATIONS - HOUSING MAINTENANCE</t>
  </si>
  <si>
    <t>rwelling</t>
  </si>
  <si>
    <t>Robert</t>
  </si>
  <si>
    <t>Welling</t>
  </si>
  <si>
    <t>530303 FMS OPERATIONS - SECOND SHIFT</t>
  </si>
  <si>
    <t>ryangilm</t>
  </si>
  <si>
    <t>Ryan</t>
  </si>
  <si>
    <t>Gilmore</t>
  </si>
  <si>
    <t>530302 FMS OPERATIONS - STRUCTURAL SHOP</t>
  </si>
  <si>
    <t>sbw3</t>
  </si>
  <si>
    <t>Stephen</t>
  </si>
  <si>
    <t>Wengryn</t>
  </si>
  <si>
    <t>530317 FMS OPERATIONS - WEST CAMPUS</t>
  </si>
  <si>
    <t>sc04</t>
  </si>
  <si>
    <t>Robert</t>
  </si>
  <si>
    <t>Munzek</t>
  </si>
  <si>
    <t>530317 FMS OPERATIONS - WEST CAMPUS</t>
  </si>
  <si>
    <t>scottand</t>
  </si>
  <si>
    <t>Scott</t>
  </si>
  <si>
    <t>Anderson</t>
  </si>
  <si>
    <t>530304 FMS OPERATIONS - GARDENERS</t>
  </si>
  <si>
    <t>sdenne</t>
  </si>
  <si>
    <t>Seth</t>
  </si>
  <si>
    <t>Denne</t>
  </si>
  <si>
    <t>530304 FMS OPERATIONS - GARDENERS</t>
  </si>
  <si>
    <t>seancoll</t>
  </si>
  <si>
    <t>Sean</t>
  </si>
  <si>
    <t>Collins</t>
  </si>
  <si>
    <t>530311 FMS - NEW EMPLOYEE DEV</t>
  </si>
  <si>
    <t>shaunmcc</t>
  </si>
  <si>
    <t>Shaun</t>
  </si>
  <si>
    <t>McCartney</t>
  </si>
  <si>
    <t>530305 FMS OPERATIONS - HOUSING MAINTENANCE</t>
  </si>
  <si>
    <t>skubrick</t>
  </si>
  <si>
    <t>STEFANO</t>
  </si>
  <si>
    <t>KUBRICK</t>
  </si>
  <si>
    <t>530308 FMS OPERATIONS - CRAIG ST</t>
  </si>
  <si>
    <t>smcc</t>
  </si>
  <si>
    <t>Scott</t>
  </si>
  <si>
    <t>Mccracken</t>
  </si>
  <si>
    <t>530319 FMS OPERATIONS - EAST ZONE</t>
  </si>
  <si>
    <t>stanonik</t>
  </si>
  <si>
    <t>Gregory</t>
  </si>
  <si>
    <t>Stanonik</t>
  </si>
  <si>
    <t>530304 FMS OPERATIONS - GARDENERS</t>
  </si>
  <si>
    <t>stevemoo</t>
  </si>
  <si>
    <t>Steve</t>
  </si>
  <si>
    <t>Moore</t>
  </si>
  <si>
    <t>530317 FMS OPERATIONS - WEST CAMPUS</t>
  </si>
  <si>
    <t>stevenbo</t>
  </si>
  <si>
    <t>Steven</t>
  </si>
  <si>
    <t>Boros</t>
  </si>
  <si>
    <t>530303 FMS OPERATIONS - SECOND SHIFT</t>
  </si>
  <si>
    <t>sw4r</t>
  </si>
  <si>
    <t>Stephen</t>
  </si>
  <si>
    <t>Weale</t>
  </si>
  <si>
    <t>530304 FMS OPERATIONS - GARDENERS</t>
  </si>
  <si>
    <t>tbosco2</t>
  </si>
  <si>
    <t>Timothy</t>
  </si>
  <si>
    <t>Bosco</t>
  </si>
  <si>
    <t>530302 FMS OPERATIONS - STRUCTURAL SHOP</t>
  </si>
  <si>
    <t>tfetterm</t>
  </si>
  <si>
    <t>Timothy</t>
  </si>
  <si>
    <t>Fetterman</t>
  </si>
  <si>
    <t>530303 FMS OPERATIONS - SECOND SHIFT</t>
  </si>
  <si>
    <t>tgo</t>
  </si>
  <si>
    <t>Todd</t>
  </si>
  <si>
    <t>Ondeck</t>
  </si>
  <si>
    <t>530304 FMS OPERATIONS - GARDENERS</t>
  </si>
  <si>
    <t>tkeim</t>
  </si>
  <si>
    <t>Ted</t>
  </si>
  <si>
    <t>Keim</t>
  </si>
  <si>
    <t>530315 FMS OPERATIONS - STOREROOM/INVENTORY</t>
  </si>
  <si>
    <t>tko9</t>
  </si>
  <si>
    <t>Christopher</t>
  </si>
  <si>
    <t>Vojtko</t>
  </si>
  <si>
    <t>530317 FMS OPERATIONS - WEST CAMPUS</t>
  </si>
  <si>
    <t>tlgray</t>
  </si>
  <si>
    <t>Tarell</t>
  </si>
  <si>
    <t>Gray</t>
  </si>
  <si>
    <t>530303 FMS OPERATIONS - SECOND SHIFT</t>
  </si>
  <si>
    <t>tseskey</t>
  </si>
  <si>
    <t>Timothy</t>
  </si>
  <si>
    <t>Seskey</t>
  </si>
  <si>
    <t>530308 FMS OPERATIONS - CRAIG ST</t>
  </si>
  <si>
    <t>vpielin</t>
  </si>
  <si>
    <t>Vinnie</t>
  </si>
  <si>
    <t>Pielin</t>
  </si>
  <si>
    <t>530303 FMS OPERATIONS - SECOND SHIFT</t>
  </si>
  <si>
    <t>vtesta</t>
  </si>
  <si>
    <t>Valerie</t>
  </si>
  <si>
    <t>Testa</t>
  </si>
  <si>
    <t>530304 FMS OPERATIONS - GARDENERS</t>
  </si>
  <si>
    <t>wchampo</t>
  </si>
  <si>
    <t>Wency</t>
  </si>
  <si>
    <t>Champo</t>
  </si>
  <si>
    <t>530319 FMS OPERATIONS - EAST ZONE</t>
  </si>
  <si>
    <t>wcline</t>
  </si>
  <si>
    <t>William</t>
  </si>
  <si>
    <t>Cline</t>
  </si>
  <si>
    <t>530305 FMS OPERATIONS - HOUSING MAINTENANCE</t>
  </si>
  <si>
    <t>wcraig</t>
  </si>
  <si>
    <t>William</t>
  </si>
  <si>
    <t>Craig</t>
  </si>
  <si>
    <t>530305 FMS OPERATIONS - HOUSING MAINTENANCE</t>
  </si>
  <si>
    <t>wdavis2</t>
  </si>
  <si>
    <t>William</t>
  </si>
  <si>
    <t>Davis</t>
  </si>
  <si>
    <t>530303 FMS OPERATIONS - SECOND SHIFT</t>
  </si>
  <si>
    <t>wschwarz</t>
  </si>
  <si>
    <t>Walt</t>
  </si>
  <si>
    <t>Schwarz</t>
  </si>
  <si>
    <t>530311 FMS - NEW EMPLOYEE DEV</t>
  </si>
  <si>
    <t>wss</t>
  </si>
  <si>
    <t>William</t>
  </si>
  <si>
    <t>Slafka</t>
  </si>
  <si>
    <t>530309 FMS OPERATIONS - FORBES</t>
  </si>
  <si>
    <t>wwaterma</t>
  </si>
  <si>
    <t>William</t>
  </si>
  <si>
    <t>Waterman</t>
  </si>
  <si>
    <t>530303 FMS OPERATIONS - SECOND SHIFT</t>
  </si>
  <si>
    <t>wweidens</t>
  </si>
  <si>
    <t>Bill</t>
  </si>
  <si>
    <t>Weidensall</t>
  </si>
  <si>
    <t>530319 FMS OPERATIONS - EAST ZONE</t>
  </si>
  <si>
    <t>wwomack</t>
  </si>
  <si>
    <t>Walter</t>
  </si>
  <si>
    <t>Womack</t>
  </si>
  <si>
    <t>520110 CENTRAL RECEIVING</t>
  </si>
  <si>
    <t>Grand Total</t>
  </si>
  <si>
    <t>Union Dues</t>
  </si>
  <si>
    <t>Vision L95</t>
  </si>
  <si>
    <t>Pay Calculation Results -  Deduction Register</t>
  </si>
  <si>
    <t>Periods</t>
  </si>
  <si>
    <t>Pay Run Groups and/or Pay Group Details</t>
  </si>
  <si>
    <t>Union Local 95 (USD): Regular (Bi-weekly)</t>
  </si>
  <si>
    <t>Deductions</t>
  </si>
  <si>
    <t>Payroll Off-cycle Types</t>
  </si>
  <si>
    <t>Workers</t>
  </si>
  <si>
    <t>Payroll Result</t>
  </si>
  <si>
    <t>Company</t>
  </si>
  <si>
    <t>Deduction</t>
  </si>
  <si>
    <t>Deduction Code</t>
  </si>
  <si>
    <t>Pay Component Groups</t>
  </si>
  <si>
    <t>Current Period Result</t>
  </si>
  <si>
    <t>Allen, Jason B (jall): 04/05/2026 (Regular) - In Progress</t>
  </si>
  <si>
    <t>Allen, Jason B (jall)</t>
  </si>
  <si>
    <t>Business Unit: 01 GENERAL
Cost Center: 530309 FMS OPERATIONS - FORBES
Location: Pittsburgh</t>
  </si>
  <si>
    <t>Union Dues L95</t>
  </si>
  <si>
    <t>UDL95</t>
  </si>
  <si>
    <t>Automatic Pay Components
EC and Ded for Faculty Leave
Pay Components to resolve for Off Cycle
Post Tax Deductions
Union Dues
Withholding Order (All): Mandatory Union Dues [USA]</t>
  </si>
  <si>
    <t>Vision - L95 EE</t>
  </si>
  <si>
    <t>VISL95</t>
  </si>
  <si>
    <t>Benefits During FMLA
Benefits During Sick &amp; Accident Leave
Benefits During Workers' Compensation
EC and Ded for Faculty Leave
Pay Components for Leaves
Pay Components to resolve for Off Cycle
Post Tax Deductions</t>
  </si>
  <si>
    <t>Anderson, Scott (scottand): 04/05/2026 (Regular) - In Progress</t>
  </si>
  <si>
    <t>Anderson, Scott (scottand)</t>
  </si>
  <si>
    <t>Business Unit: 01 GENERAL
Cost Center: 530304 FMS OPERATIONS - GARDENERS
Location: Pittsburgh</t>
  </si>
  <si>
    <t>Arlet, John Adam (On Leave) (jarlet): 04/05/2026 (Regular) - In Progress</t>
  </si>
  <si>
    <t>Arlet, John Adam (On Leave) (jarlet)</t>
  </si>
  <si>
    <t>Business Unit: 01 GENERAL
Cost Center: 530302 FMS OPERATIONS - STRUCTURAL SHOP
Location: Pittsburgh</t>
  </si>
  <si>
    <t>Baird, Jeffrey M (jb22): 04/05/2026 (Regular) - In Progress</t>
  </si>
  <si>
    <t>Baird, Jeffrey M (jb22)</t>
  </si>
  <si>
    <t>Business Unit: 01 GENERAL
Cost Center: 530308 FMS OPERATIONS - CRAIG ST
Location: Pittsburgh</t>
  </si>
  <si>
    <t>Balestino, Dru (dbalesti): 04/05/2026 (Regular) - In Progress</t>
  </si>
  <si>
    <t>Balestino, Dru (dbalesti)</t>
  </si>
  <si>
    <t>Business Unit: 01 GENERAL
Cost Center: 530303 FMS OPERATIONS - SECOND SHIFT
Location: Pittsburgh</t>
  </si>
  <si>
    <t>Banga, Chris (cbanga): 04/05/2026 (Regular) - In Progress</t>
  </si>
  <si>
    <t>Banga, Chris (cbanga)</t>
  </si>
  <si>
    <t>Business Unit: 01 GENERAL
Cost Center: 530319 FMS OPERATIONS - EAST ZONE
Location: Pittsburgh</t>
  </si>
  <si>
    <t>Baratka, Marc Martin (On Leave) (mbpl): 04/05/2026 (Regular) - In Progress</t>
  </si>
  <si>
    <t>Baratka, Marc Martin (On Leave) (mbpl)</t>
  </si>
  <si>
    <t>Baumgartel, Mark (markbaum): 04/05/2026 (Regular) - In Progress</t>
  </si>
  <si>
    <t>Baumgartel, Mark (markbaum)</t>
  </si>
  <si>
    <t>Business Unit: 01 GENERAL
Cost Center: 530311 FMS - NEW EMPLOYEE DEV
Location: Pittsburgh</t>
  </si>
  <si>
    <t>Boros, Steven (stevenbo): 04/05/2026 (Regular) - In Progress</t>
  </si>
  <si>
    <t>Boros, Steven (stevenbo)</t>
  </si>
  <si>
    <t>Bosco, Timothy (tbosco2): 04/05/2026 (Regular) - In Progress</t>
  </si>
  <si>
    <t>Bosco, Timothy (tbosco2)</t>
  </si>
  <si>
    <t>Browning, Connor (cbrownin): 04/05/2026 (Regular) - In Progress</t>
  </si>
  <si>
    <t>Browning, Connor (cbrownin)</t>
  </si>
  <si>
    <t>Bullitt, George W (gwb): 04/05/2026 (Regular) - In Progress</t>
  </si>
  <si>
    <t>Bullitt, George W (gwb)</t>
  </si>
  <si>
    <t>Caley, Cody (Separated) (ccaley): 04/05/2026 (Regular) - In Progress</t>
  </si>
  <si>
    <t>Caley, Cody (Separated) (ccaley)</t>
  </si>
  <si>
    <t>Carrozza, Donald R (dc04): 04/05/2026 (Regular) - In Progress</t>
  </si>
  <si>
    <t>Carrozza, Donald R (dc04)</t>
  </si>
  <si>
    <t>Champo, Wency (wchampo): 04/05/2026 (Regular) - In Progress</t>
  </si>
  <si>
    <t>Champo, Wency (wchampo)</t>
  </si>
  <si>
    <t>Christopher, James (jameschr): 04/05/2026 (Regular) - In Progress</t>
  </si>
  <si>
    <t>Christopher, James (jameschr)</t>
  </si>
  <si>
    <t>Clarke, Rick (rclarke): 04/05/2026 (Regular) - In Progress</t>
  </si>
  <si>
    <t>Clarke, Rick (rclarke)</t>
  </si>
  <si>
    <t>Cline, William (wcline): 04/05/2026 (Regular) - In Progress</t>
  </si>
  <si>
    <t>Cline, William (wcline)</t>
  </si>
  <si>
    <t>Business Unit: 01 GENERAL
Cost Center: 530305 FMS OPERATIONS - HOUSING MAINTENANCE
Location: Pittsburgh</t>
  </si>
  <si>
    <t>Collins, Kenny (kennyc): 04/05/2026 (Regular) - In Progress</t>
  </si>
  <si>
    <t>Collins, Kenny (kennyc)</t>
  </si>
  <si>
    <t>Collins, Sean (Separated) (seancoll): 04/05/2026 (Regular) - In Progress</t>
  </si>
  <si>
    <t>Collins, Sean (Separated) (seancoll)</t>
  </si>
  <si>
    <t>Craig, William John (wcraig): 04/05/2026 (Regular) - In Progress</t>
  </si>
  <si>
    <t>Craig, William John (wcraig)</t>
  </si>
  <si>
    <t>Crawford, Cody (codycraw): 04/05/2026 (Regular) - In Progress</t>
  </si>
  <si>
    <t>Crawford, Cody (codycraw)</t>
  </si>
  <si>
    <t>Business Unit: 01 GENERAL
Cost Center: 530315 FMS OPERATIONS - STOREROOM/INVENTORY
Location: Pittsburgh</t>
  </si>
  <si>
    <t>Curges, Elijah (ecurges): 04/05/2026 (Regular) - In Progress</t>
  </si>
  <si>
    <t>Curges, Elijah (ecurges)</t>
  </si>
  <si>
    <t>Cylenica, Rory (rcylenic): 04/05/2026 (Regular) - In Progress</t>
  </si>
  <si>
    <t>Cylenica, Rory (rcylenic)</t>
  </si>
  <si>
    <t>Davis, William (wdavis2): 04/05/2026 (Regular) - In Progress</t>
  </si>
  <si>
    <t>Davis, William (wdavis2)</t>
  </si>
  <si>
    <t>Deighan, Richard (rdeighan): 04/05/2026 (Regular) - In Progress</t>
  </si>
  <si>
    <t>Deighan, Richard (rdeighan)</t>
  </si>
  <si>
    <t>Denne, Seth Andrew (sdenne): 04/05/2026 (Regular) - In Progress</t>
  </si>
  <si>
    <t>Denne, Seth Andrew (sdenne)</t>
  </si>
  <si>
    <t>Fetterman, Timothy (tfetterm): 04/05/2026 (Regular) - In Progress</t>
  </si>
  <si>
    <t>Fetterman, Timothy (tfetterm)</t>
  </si>
  <si>
    <t>Fife, Michael T (On Leave) (mfife): 04/05/2026 (Regular) - In Progress</t>
  </si>
  <si>
    <t>Fife, Michael T (On Leave) (mfife)</t>
  </si>
  <si>
    <t>Fohl, Adam (On Leave) (afohl): 04/05/2026 (Regular) - In Progress</t>
  </si>
  <si>
    <t>Fohl, Adam (On Leave) (afohl)</t>
  </si>
  <si>
    <t>Frantz, Michael (mfrantz): 04/05/2026 (Regular) - In Progress</t>
  </si>
  <si>
    <t>Frantz, Michael (mfrantz)</t>
  </si>
  <si>
    <t>Garrard, R Douglas (dg24): 04/05/2026 (Regular) - In Progress</t>
  </si>
  <si>
    <t>Garrard, R Douglas (dg24)</t>
  </si>
  <si>
    <t>Gilmore, Ryan (On Leave) (ryangilm): 04/05/2026 (Regular) - In Progress</t>
  </si>
  <si>
    <t>Gilmore, Ryan (On Leave) (ryangilm)</t>
  </si>
  <si>
    <t>Godlewski, Matthew J (mg77): 04/05/2026 (Regular) - In Progress</t>
  </si>
  <si>
    <t>Godlewski, Matthew J (mg77)</t>
  </si>
  <si>
    <t>Grafton, Brent A (Separated) (bg2m): 04/05/2026 (Regular) - In Progress</t>
  </si>
  <si>
    <t>Grafton, Brent A (Separated) (bg2m)</t>
  </si>
  <si>
    <t>Business Unit: 01 GENERAL
Cost Center: 530317 FMS OPERATIONS - WEST CAMPUS
Location: Pittsburgh</t>
  </si>
  <si>
    <t>Grafton, Bruce L (On Leave) (bg2n): 04/05/2026 (Regular) - In Progress</t>
  </si>
  <si>
    <t>Grafton, Bruce L (On Leave) (bg2n)</t>
  </si>
  <si>
    <t>Gray, Tarell L (On Leave) (tlgray): 04/05/2026 (Regular) - In Progress</t>
  </si>
  <si>
    <t>Gray, Tarell L (On Leave) (tlgray)</t>
  </si>
  <si>
    <t>Gregg, Gary (ggregg): 04/05/2026 (Regular) - In Progress</t>
  </si>
  <si>
    <t>Gregg, Gary (ggregg)</t>
  </si>
  <si>
    <t>Groman, Matthew (mgroman): 04/05/2026 (Regular) - In Progress</t>
  </si>
  <si>
    <t>Groman, Matthew (mgroman)</t>
  </si>
  <si>
    <t>Hahn, Craig A (Retired) (crha): 04/05/2026 (Regular) - In Progress</t>
  </si>
  <si>
    <t>Hahn, Craig A (Retired) (crha)</t>
  </si>
  <si>
    <t>Harper, Chester Deron (ch02): 04/05/2026 (Regular) - In Progress</t>
  </si>
  <si>
    <t>Harper, Chester Deron (ch02)</t>
  </si>
  <si>
    <t>Hartranft, Ben (bhartran): 04/05/2026 (Regular) - In Progress</t>
  </si>
  <si>
    <t>Hartranft, Ben (bhartran)</t>
  </si>
  <si>
    <t>Hatala, Nicholas (On Leave) (nhatala): 04/05/2026 (Regular) - In Progress</t>
  </si>
  <si>
    <t>Hatala, Nicholas (On Leave) (nhatala)</t>
  </si>
  <si>
    <t>Hefflin, Justin D (jhefflin): 04/05/2026 (Regular) - In Progress</t>
  </si>
  <si>
    <t>Hefflin, Justin D (jhefflin)</t>
  </si>
  <si>
    <t>Henry, Harry (harryhen): 04/05/2026 (Regular) - In Progress</t>
  </si>
  <si>
    <t>Henry, Harry (harryhen)</t>
  </si>
  <si>
    <t>Hesch, John G. (jhba): 04/05/2026 (Regular) - In Progress</t>
  </si>
  <si>
    <t>Hesch, John G. (jhba)</t>
  </si>
  <si>
    <t>Hickman, Rodney M (rh4y): 04/05/2026 (Regular) - In Progress</t>
  </si>
  <si>
    <t>Hickman, Rodney M (rh4y)</t>
  </si>
  <si>
    <t>Holback, Nathaniel (nholback): 04/05/2026 (Regular) - In Progress</t>
  </si>
  <si>
    <t>Holback, Nathaniel (nholback)</t>
  </si>
  <si>
    <t>Johnson, Karl (On Leave) (kjoh): 04/05/2026 (Regular) - Pending Completion of Retro</t>
  </si>
  <si>
    <t>Johnson, Karl (On Leave) (kjoh)</t>
  </si>
  <si>
    <t>Jones, Mark S (msjones): 04/05/2026 (Regular) - In Progress</t>
  </si>
  <si>
    <t>Jones, Mark S (msjones)</t>
  </si>
  <si>
    <t>Jones, Michael J (mj2r): 04/05/2026 (Regular) - In Progress</t>
  </si>
  <si>
    <t>Jones, Michael J (mj2r)</t>
  </si>
  <si>
    <t>Kalanish, Michael A (mk9a): 04/05/2026 (Regular) - In Progress</t>
  </si>
  <si>
    <t>Kalanish, Michael A (mk9a)</t>
  </si>
  <si>
    <t>Keim, Ted (tkeim): 04/05/2026 (Regular) - In Progress</t>
  </si>
  <si>
    <t>Keim, Ted (tkeim)</t>
  </si>
  <si>
    <t>Kickler, Dustin (dkickler): 04/05/2026 (Regular) - In Progress</t>
  </si>
  <si>
    <t>Kickler, Dustin (dkickler)</t>
  </si>
  <si>
    <t>Kotyuk, Matthew (mkotyuk): 04/05/2026 (Regular) - In Progress</t>
  </si>
  <si>
    <t>Kotyuk, Matthew (mkotyuk)</t>
  </si>
  <si>
    <t>KUBRICK, STEFANO (skubrick): 04/05/2026 (Regular) - In Progress</t>
  </si>
  <si>
    <t>KUBRICK, STEFANO (skubrick)</t>
  </si>
  <si>
    <t>Ladner, Mark E (ladner): 04/05/2026 (Regular) - In Progress</t>
  </si>
  <si>
    <t>Ladner, Mark E (ladner)</t>
  </si>
  <si>
    <t>Lambert, William Robert (On Leave) (bl88): 04/05/2026 (Regular) - Pending Completion of Retro</t>
  </si>
  <si>
    <t>Lambert, William Robert (On Leave) (bl88)</t>
  </si>
  <si>
    <t>LoBianco, Jerry (glb1): 04/05/2026 (Regular) - In Progress</t>
  </si>
  <si>
    <t>LoBianco, Jerry (glb1)</t>
  </si>
  <si>
    <t>Loew, Michael M (ml78): 04/05/2026 (Regular) - In Progress</t>
  </si>
  <si>
    <t>Loew, Michael M (ml78)</t>
  </si>
  <si>
    <t>Lucas, James F (On Leave) (jl85)</t>
  </si>
  <si>
    <t>Lucas, Michael (ml01): 04/05/2026 (Regular) - In Progress</t>
  </si>
  <si>
    <t>Lucas, Michael (ml01)</t>
  </si>
  <si>
    <t>MacDonald, Jonas (jonasm): 04/05/2026 (Regular) - In Progress</t>
  </si>
  <si>
    <t>MacDonald, Jonas (jonasm)</t>
  </si>
  <si>
    <t>Mahan, Brennan G (bmahan): 04/05/2026 (Regular) - In Progress</t>
  </si>
  <si>
    <t>Mahan, Brennan G (bmahan)</t>
  </si>
  <si>
    <t>Maloney, Jason A (On Leave) (jama): 04/05/2026 (Regular) - In Progress</t>
  </si>
  <si>
    <t>Maloney, Jason A (On Leave) (jama)</t>
  </si>
  <si>
    <t>Martin, Erik Robert (On Leave) (em98): 04/05/2026 (Regular) - In Progress</t>
  </si>
  <si>
    <t>Martin, Erik Robert (On Leave) (em98)</t>
  </si>
  <si>
    <t>Maslanka, Craig (cmaslank): 04/05/2026 (Regular) - In Progress</t>
  </si>
  <si>
    <t>Maslanka, Craig (cmaslank)</t>
  </si>
  <si>
    <t>Massimino, Chris (cmassimi): 04/05/2026 (Regular) - In Progress</t>
  </si>
  <si>
    <t>Massimino, Chris (cmassimi)</t>
  </si>
  <si>
    <t>Matejcic, Ivan (imatejci): 04/05/2026 (Regular) - In Progress</t>
  </si>
  <si>
    <t>Matejcic, Ivan (imatejci)</t>
  </si>
  <si>
    <t>McCartney, Shaun (shaunmcc): 04/05/2026 (Regular) - In Progress</t>
  </si>
  <si>
    <t>McCartney, Shaun (shaunmcc)</t>
  </si>
  <si>
    <t>Mccracken, Scott W (On Leave) (smcc): 04/05/2026 (Regular) - In Progress</t>
  </si>
  <si>
    <t>Mccracken, Scott W (On Leave) (smcc)</t>
  </si>
  <si>
    <t>Mcpherson, Corey Lee (cmcp): 04/05/2026 (Regular) - In Progress</t>
  </si>
  <si>
    <t>Mcpherson, Corey Lee (cmcp)</t>
  </si>
  <si>
    <t>Meyers, Charles J. (cjmeyers): 04/05/2026 (Regular) - In Progress</t>
  </si>
  <si>
    <t>Meyers, Charles J. (cjmeyers)</t>
  </si>
  <si>
    <t>Business Unit: 01 GENERAL
Cost Center: 520110 CENTRAL RECEIVING
Location: Pittsburgh</t>
  </si>
  <si>
    <t>Michalski, Franklin S. (On Leave) (fmichals): 04/05/2026 (Regular) - In Progress</t>
  </si>
  <si>
    <t>Michalski, Franklin S. (On Leave) (fmichals)</t>
  </si>
  <si>
    <t>Moore, Steve (stevemoo): 04/05/2026 (Regular) - In Progress</t>
  </si>
  <si>
    <t>Moore, Steve (stevemoo)</t>
  </si>
  <si>
    <t>Munzek, Robert S (sc04): 04/05/2026 (Regular) - In Progress</t>
  </si>
  <si>
    <t>Munzek, Robert S (sc04)</t>
  </si>
  <si>
    <t>Murphy, Donald J (On Leave) (dmurphy): 04/05/2026 (Regular) - Pending Completion of Retro</t>
  </si>
  <si>
    <t>Murphy, Donald J (On Leave) (dmurphy)</t>
  </si>
  <si>
    <t>Murphy, James (jamesmur): 04/05/2026 (Regular) - In Progress</t>
  </si>
  <si>
    <t>Murphy, James (jamesmur)</t>
  </si>
  <si>
    <t>Nagy, Mathew (mnagy): 04/05/2026 (Regular) - In Progress</t>
  </si>
  <si>
    <t>Nagy, Mathew (mnagy)</t>
  </si>
  <si>
    <t>Nichols, Christopher (cnichols): 04/05/2026 (Regular) - In Progress</t>
  </si>
  <si>
    <t>Nichols, Christopher (cnichols)</t>
  </si>
  <si>
    <t>Nofi, Dominic (dnofi): 04/05/2026 (Regular) - In Progress</t>
  </si>
  <si>
    <t>Nofi, Dominic (dnofi)</t>
  </si>
  <si>
    <t>Ondeck, Todd G (tgo): 04/05/2026 (Regular) - In Progress</t>
  </si>
  <si>
    <t>Ondeck, Todd G (tgo)</t>
  </si>
  <si>
    <t>Ondulich, Mark (mo31): 04/05/2026 (Regular) - In Progress</t>
  </si>
  <si>
    <t>Ondulich, Mark (mo31)</t>
  </si>
  <si>
    <t>Palma, Devon (devonpal): 04/05/2026 (Regular) - In Progress</t>
  </si>
  <si>
    <t>Palma, Devon (devonpal)</t>
  </si>
  <si>
    <t>Papuga, Michael Joseph (On Leave) (mp11): 04/05/2026 (Regular) - In Progress</t>
  </si>
  <si>
    <t>Papuga, Michael Joseph (On Leave) (mp11)</t>
  </si>
  <si>
    <t>Piacquadio, Joseph Matthew (jpiacqua): 04/05/2026 (Regular) - In Progress</t>
  </si>
  <si>
    <t>Piacquadio, Joseph Matthew (jpiacqua)</t>
  </si>
  <si>
    <t>Pielin, Vinnie I (vpielin): 04/05/2026 (Regular) - In Progress</t>
  </si>
  <si>
    <t>Pielin, Vinnie I (vpielin)</t>
  </si>
  <si>
    <t>Pifer, Aaron (On Leave) (apifer): 04/05/2026 (Regular) - In Progress</t>
  </si>
  <si>
    <t>Pifer, Aaron (On Leave) (apifer)</t>
  </si>
  <si>
    <t>Pikula, Drew (On Leave) (dpikula): 04/05/2026 (Regular) - In Progress</t>
  </si>
  <si>
    <t>Pikula, Drew (On Leave) (dpikula)</t>
  </si>
  <si>
    <t>Procacina, Dennis J (dennisp): 04/05/2026 (Regular) - In Progress</t>
  </si>
  <si>
    <t>Procacina, Dennis J (dennisp)</t>
  </si>
  <si>
    <t>Reid, David P (dr89): 04/05/2026 (Regular) - In Progress</t>
  </si>
  <si>
    <t>Reid, David P (dr89)</t>
  </si>
  <si>
    <t>Reinsfelder, Richard David (rdrr): 04/05/2026 (Regular) - In Progress</t>
  </si>
  <si>
    <t>Reinsfelder, Richard David (rdrr)</t>
  </si>
  <si>
    <t>Robbins, Nathaniel (nrobbin2): 04/05/2026 (Regular) - In Progress</t>
  </si>
  <si>
    <t>Robbins, Nathaniel (nrobbin2)</t>
  </si>
  <si>
    <t>Roberts, Dennis (drobert1): 04/05/2026 (Regular) - In Progress</t>
  </si>
  <si>
    <t>Roberts, Dennis (drobert1)</t>
  </si>
  <si>
    <t>Rock, Michael P. (On Leave) (mrock): 04/05/2026 (Regular) - In Progress</t>
  </si>
  <si>
    <t>Rock, Michael P. (On Leave) (mrock)</t>
  </si>
  <si>
    <t>Ruffing, Bruce (bruffing): 04/05/2026 (Regular) - In Progress</t>
  </si>
  <si>
    <t>Ruffing, Bruce (bruffing)</t>
  </si>
  <si>
    <t>Russo, Christopher S (csrusso): 04/05/2026 (Regular) - In Progress</t>
  </si>
  <si>
    <t>Russo, Christopher S (csrusso)</t>
  </si>
  <si>
    <t>Rutten, Bob (rrutten): 04/05/2026 (Regular) - In Progress</t>
  </si>
  <si>
    <t>Rutten, Bob (rrutten)</t>
  </si>
  <si>
    <t>Business Unit: 01 GENERAL
Cost Center: 530301 FMS OPERATIONS - MEP
Location: Pittsburgh</t>
  </si>
  <si>
    <t>Sabo, Jacob (jacobsab): 04/05/2026 (Regular) - In Progress</t>
  </si>
  <si>
    <t>Sabo, Jacob (jacobsab)</t>
  </si>
  <si>
    <t>Sams, Leyland (lsams): 04/05/2026 (Regular) - In Progress</t>
  </si>
  <si>
    <t>Sams, Leyland (lsams)</t>
  </si>
  <si>
    <t>Santavicca, Tony J. (asantavi): 04/05/2026 (Regular) - In Progress</t>
  </si>
  <si>
    <t>Santavicca, Tony J. (asantavi)</t>
  </si>
  <si>
    <t>Saunders, David J (djs2): 04/03/2026 (Regular) - In Progress</t>
  </si>
  <si>
    <t>Saunders, David J (djs2)</t>
  </si>
  <si>
    <t>Schaffer, Richard H. (rschaffe): 04/05/2026 (Regular) - In Progress</t>
  </si>
  <si>
    <t>Schaffer, Richard H. (rschaffe)</t>
  </si>
  <si>
    <t>Schuller, Katie (katiesch): 04/05/2026 (Regular) - In Progress</t>
  </si>
  <si>
    <t>Schuller, Katie (katiesch)</t>
  </si>
  <si>
    <t>Schwarz, Walt M (On Leave) (wschwarz): 04/05/2026 (Regular) - In Progress</t>
  </si>
  <si>
    <t>Schwarz, Walt M (On Leave) (wschwarz)</t>
  </si>
  <si>
    <t>Scott, Jacob (jacobsco): 04/05/2026 (Regular) - In Progress</t>
  </si>
  <si>
    <t>Scott, Jacob (jacobsco)</t>
  </si>
  <si>
    <t>Seskey, Timothy Daniel (tseskey): 04/05/2026 (Regular) - In Progress</t>
  </si>
  <si>
    <t>Seskey, Timothy Daniel (tseskey)</t>
  </si>
  <si>
    <t>Simon, Paul (paulsimo): 04/05/2026 (Regular) - In Progress</t>
  </si>
  <si>
    <t>Simon, Paul (paulsimo)</t>
  </si>
  <si>
    <t>Slafka, William S. (On Leave) (wss): 04/05/2026 (Regular) - In Progress</t>
  </si>
  <si>
    <t>Slafka, William S. (On Leave) (wss)</t>
  </si>
  <si>
    <t>Spochacz, Joseph S (On Leave) (jspochac): 04/05/2026 (Regular) - In Progress</t>
  </si>
  <si>
    <t>Spochacz, Joseph S (On Leave) (jspochac)</t>
  </si>
  <si>
    <t>St.John, Collin (collinst): 04/05/2026 (Regular) - In Progress</t>
  </si>
  <si>
    <t>St.John, Collin (collinst)</t>
  </si>
  <si>
    <t>Stanonik, Gregory A (stanonik): 04/05/2026 (Regular) - In Progress</t>
  </si>
  <si>
    <t>Stanonik, Gregory A (stanonik)</t>
  </si>
  <si>
    <t>Stanton, Frank (fsta): 04/05/2026 (Regular) - In Progress</t>
  </si>
  <si>
    <t>Stanton, Frank (fsta)</t>
  </si>
  <si>
    <t>Steele, Harry (hs1k): 04/05/2026 (Regular) - In Progress</t>
  </si>
  <si>
    <t>Steele, Harry (hs1k)</t>
  </si>
  <si>
    <t>Stubbs, David D (dstu): 04/05/2026 (Regular) - In Progress</t>
  </si>
  <si>
    <t>Stubbs, David D (dstu)</t>
  </si>
  <si>
    <t>Sullivan, Robert (Separated) (ms01): 04/05/2026 (Regular) - In Progress</t>
  </si>
  <si>
    <t>Sullivan, Robert (Separated) (ms01)</t>
  </si>
  <si>
    <t>Swiech, Brandon Richard (bswiech): 04/05/2026 (Regular) - In Progress</t>
  </si>
  <si>
    <t>Swiech, Brandon Richard (bswiech)</t>
  </si>
  <si>
    <t>Testa, Valerie (vtesta): 04/05/2026 (Regular) - In Progress</t>
  </si>
  <si>
    <t>Testa, Valerie (vtesta)</t>
  </si>
  <si>
    <t>Tomlinson, Brian N (btomlins): 04/05/2026 (Regular) - In Progress</t>
  </si>
  <si>
    <t>Tomlinson, Brian N (btomlins)</t>
  </si>
  <si>
    <t>Toniolo, Mario (mtoniolo): 04/05/2026 (Regular) - In Progress</t>
  </si>
  <si>
    <t>Toniolo, Mario (mtoniolo)</t>
  </si>
  <si>
    <t>Vardzel, Richard (rvardzel): 04/05/2026 (Regular) - In Progress</t>
  </si>
  <si>
    <t>Vardzel, Richard (rvardzel)</t>
  </si>
  <si>
    <t>Vojtko, Christopher (tko9): 04/05/2026 (Regular) - In Progress</t>
  </si>
  <si>
    <t>Vojtko, Christopher (tko9)</t>
  </si>
  <si>
    <t>Walker, Gary Wayne (gwwalker): 04/05/2026 (Regular) - In Progress</t>
  </si>
  <si>
    <t>Walker, Gary Wayne (gwwalker)</t>
  </si>
  <si>
    <t>Waterman, William (On Leave) (wwaterma): 04/05/2026 (Regular) - In Progress</t>
  </si>
  <si>
    <t>Waterman, William (On Leave) (wwaterma)</t>
  </si>
  <si>
    <t>Weale, Stephen A (sw4r): 04/05/2026 (Regular) - In Progress</t>
  </si>
  <si>
    <t>Weale, Stephen A (sw4r)</t>
  </si>
  <si>
    <t>Weidensall, Bill (wweidens): 04/05/2026 (Regular) - In Progress</t>
  </si>
  <si>
    <t>Weidensall, Bill (wweidens)</t>
  </si>
  <si>
    <t>Welling, Robert (rwelling): 04/05/2026 (Regular) - In Progress</t>
  </si>
  <si>
    <t>Welling, Robert (rwelling)</t>
  </si>
  <si>
    <t>Wengryn, Stephen Blase (Retired) (sbw3): 04/05/2026 (Regular) - In Progress</t>
  </si>
  <si>
    <t>Wengryn, Stephen Blase (Retired) (sbw3)</t>
  </si>
  <si>
    <t>West, Robert (On Leave) (robertwe): 04/05/2026 (Regular) - In Progress</t>
  </si>
  <si>
    <t>West, Robert (On Leave) (robertwe)</t>
  </si>
  <si>
    <t>Womack, Walter E (wwomack): 04/05/2026 (Regular) - In Progress</t>
  </si>
  <si>
    <t>Womack, Walter E (wwomack)</t>
  </si>
  <si>
    <t>Yuhasz, Joshua Michael (jyuhasz): 04/05/2026 (Regular) - In Progress</t>
  </si>
  <si>
    <t>Yuhasz, Joshua Michael (jyuhasz)</t>
  </si>
  <si>
    <t>Lucas, James F (On Leave) (jl85): 04/05/2026 (Regular) - Pending Completion of 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</si>
</sst>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10"/>
      <name val="Arial"/>
    </font>
    <font>
      <b/>
      <i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14" fontId="0" fillId="0" borderId="0" xfId="0" applyNumberFormat="1" applyAlignment="1">
      <alignment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4" fillId="3" borderId="0" xfId="1" applyFont="1" applyFill="1" applyAlignment="1">
      <alignment horizontal="left" vertical="top"/>
    </xf>
    <xf numFmtId="0" fontId="3" fillId="0" borderId="0" xfId="1"/>
    <xf numFmtId="0" fontId="5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vertical="top"/>
    </xf>
    <xf numFmtId="0" fontId="5" fillId="0" borderId="0" xfId="1" applyFont="1" applyAlignment="1">
      <alignment horizontal="center" vertical="top" wrapText="1"/>
    </xf>
    <xf numFmtId="164" fontId="6" fillId="0" borderId="0" xfId="1" applyNumberFormat="1" applyFont="1" applyAlignment="1">
      <alignment horizontal="right" vertical="top"/>
    </xf>
    <xf numFmtId="0" fontId="0" fillId="4" borderId="0" xfId="0" applyFill="1" applyAlignment="1">
      <alignment vertical="top" wrapText="1"/>
    </xf>
    <xf numFmtId="14" fontId="0" fillId="4" borderId="0" xfId="0" applyNumberFormat="1" applyFill="1" applyAlignment="1">
      <alignment vertical="top"/>
    </xf>
    <xf numFmtId="4" fontId="0" fillId="4" borderId="0" xfId="0" applyNumberFormat="1" applyFill="1" applyAlignment="1">
      <alignment horizontal="right" vertical="top"/>
    </xf>
    <xf numFmtId="0" fontId="2" fillId="0" borderId="0" xfId="0" applyFont="1" applyAlignment="1">
      <alignment horizontal="center" vertical="top" wrapText="1"/>
    </xf>
  </cellXfs>
  <cellStyles count="2">
    <cellStyle name="Normal" xfId="0" builtinId="0"/>
    <cellStyle name="Normal 2" xfId="1" xr:uid="{68536EBB-5480-4137-8763-6F442E5232B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148</xdr:row>
      <xdr:rowOff>0</xdr:rowOff>
    </xdr:from>
    <xdr:to>
      <xdr:col>5</xdr:col>
      <xdr:colOff>521275</xdr:colOff>
      <xdr:row>166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C8811F-D178-A3E3-5450-F1F834D48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26825"/>
          <a:ext cx="8331775" cy="2962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kellyhes/Downloads/Pay_Calculation_Results_-_Deduction_Register%20-%202026-04-06T152137.153.xlsx" TargetMode="External"/><Relationship Id="rId1" Type="http://schemas.openxmlformats.org/officeDocument/2006/relationships/externalLinkPath" Target="file:///C:/Users/kellyhes/Downloads/Pay_Calculation_Results_-_Deduction_Register%20-%202026-04-06T152137.15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kellyhes/Downloads/Pay_Calculation_Results_-_Deduction_Register%20-%202026-04-06T152354.108.xlsx" TargetMode="External"/><Relationship Id="rId1" Type="http://schemas.openxmlformats.org/officeDocument/2006/relationships/externalLinkPath" Target="file:///C:/Users/kellyhes/Downloads/Pay_Calculation_Results_-_Deduction_Register%20-%202026-04-06T152354.1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">
          <cell r="C9" t="str">
            <v>Employee ID</v>
          </cell>
          <cell r="D9" t="str">
            <v>Company</v>
          </cell>
          <cell r="E9" t="str">
            <v>Organizations</v>
          </cell>
          <cell r="F9" t="str">
            <v>Period</v>
          </cell>
          <cell r="G9" t="str">
            <v>Deduction</v>
          </cell>
          <cell r="H9" t="str">
            <v>Deduction Code</v>
          </cell>
          <cell r="I9" t="str">
            <v>Pay Component Groups</v>
          </cell>
          <cell r="J9" t="str">
            <v>Current Period Result</v>
          </cell>
        </row>
        <row r="10">
          <cell r="C10" t="str">
            <v>jall</v>
          </cell>
          <cell r="D10" t="str">
            <v>Carnegie Mellon University</v>
          </cell>
          <cell r="E10" t="str">
            <v>Business Unit: 01 GENERAL
Cost Center: 530309 FMS OPERATIONS - FORBES
Location: Pittsburgh</v>
          </cell>
          <cell r="F10" t="str">
            <v>03/23/2026 - 04/05/2026  (Biweekly)</v>
          </cell>
          <cell r="G10" t="str">
            <v>Union Dues L95</v>
          </cell>
          <cell r="H10" t="str">
            <v>UDL95</v>
          </cell>
          <cell r="I10" t="str">
            <v>Automatic Pay Components
EC and Ded for Faculty Leave
Pay Components to resolve for Off Cycle
Post Tax Deductions
Union Dues
Withholding Order (All): Mandatory Union Dues [USA]</v>
          </cell>
          <cell r="J10">
            <v>54.29</v>
          </cell>
        </row>
        <row r="11">
          <cell r="C11" t="str">
            <v>scottand</v>
          </cell>
          <cell r="D11" t="str">
            <v>Carnegie Mellon University</v>
          </cell>
          <cell r="E11" t="str">
            <v>Business Unit: 01 GENERAL
Cost Center: 530304 FMS OPERATIONS - GARDENERS
Location: Pittsburgh</v>
          </cell>
          <cell r="F11" t="str">
            <v>03/23/2026 - 04/05/2026  (Biweekly)</v>
          </cell>
          <cell r="G11" t="str">
            <v>Union Dues L95</v>
          </cell>
          <cell r="H11" t="str">
            <v>UDL95</v>
          </cell>
          <cell r="I11" t="str">
            <v>Automatic Pay Components
EC and Ded for Faculty Leave
Pay Components to resolve for Off Cycle
Post Tax Deductions
Union Dues
Withholding Order (All): Mandatory Union Dues [USA]</v>
          </cell>
          <cell r="J11">
            <v>39.86</v>
          </cell>
        </row>
        <row r="12">
          <cell r="C12" t="str">
            <v>jarlet</v>
          </cell>
          <cell r="D12" t="str">
            <v>Carnegie Mellon University</v>
          </cell>
          <cell r="E12" t="str">
            <v>Business Unit: 01 GENERAL
Cost Center: 530302 FMS OPERATIONS - STRUCTURAL SHOP
Location: Pittsburgh</v>
          </cell>
          <cell r="F12" t="str">
            <v>03/23/2026 - 04/05/2026  (Biweekly)</v>
          </cell>
          <cell r="G12" t="str">
            <v>Union Dues L95</v>
          </cell>
          <cell r="H12" t="str">
            <v>UDL95</v>
          </cell>
          <cell r="I12" t="str">
            <v>Automatic Pay Components
EC and Ded for Faculty Leave
Pay Components to resolve for Off Cycle
Post Tax Deductions
Union Dues
Withholding Order (All): Mandatory Union Dues [USA]</v>
          </cell>
          <cell r="J12">
            <v>48.36</v>
          </cell>
        </row>
        <row r="13">
          <cell r="C13" t="str">
            <v>jb22</v>
          </cell>
          <cell r="D13" t="str">
            <v>Carnegie Mellon University</v>
          </cell>
          <cell r="E13" t="str">
            <v>Business Unit: 01 GENERAL
Cost Center: 530308 FMS OPERATIONS - CRAIG ST
Location: Pittsburgh</v>
          </cell>
          <cell r="F13" t="str">
            <v>03/23/2026 - 04/05/2026  (Biweekly)</v>
          </cell>
          <cell r="G13" t="str">
            <v>Union Dues L95</v>
          </cell>
          <cell r="H13" t="str">
            <v>UDL95</v>
          </cell>
          <cell r="I13" t="str">
            <v>Automatic Pay Components
EC and Ded for Faculty Leave
Pay Components to resolve for Off Cycle
Post Tax Deductions
Union Dues
Withholding Order (All): Mandatory Union Dues [USA]</v>
          </cell>
          <cell r="J13">
            <v>34.299999999999997</v>
          </cell>
        </row>
        <row r="14">
          <cell r="C14" t="str">
            <v>dbalesti</v>
          </cell>
          <cell r="D14" t="str">
            <v>Carnegie Mellon University</v>
          </cell>
          <cell r="E14" t="str">
            <v>Business Unit: 01 GENERAL
Cost Center: 530303 FMS OPERATIONS - SECOND SHIFT
Location: Pittsburgh</v>
          </cell>
          <cell r="F14" t="str">
            <v>03/23/2026 - 04/05/2026  (Biweekly)</v>
          </cell>
          <cell r="G14" t="str">
            <v>Union Dues L95</v>
          </cell>
          <cell r="H14" t="str">
            <v>UDL95</v>
          </cell>
          <cell r="I14" t="str">
            <v>Automatic Pay Components
EC and Ded for Faculty Leave
Pay Components to resolve for Off Cycle
Post Tax Deductions
Union Dues
Withholding Order (All): Mandatory Union Dues [USA]</v>
          </cell>
          <cell r="J14">
            <v>34.299999999999997</v>
          </cell>
        </row>
        <row r="15">
          <cell r="C15" t="str">
            <v>cbanga</v>
          </cell>
          <cell r="D15" t="str">
            <v>Carnegie Mellon University</v>
          </cell>
          <cell r="E15" t="str">
            <v>Business Unit: 01 GENERAL
Cost Center: 530319 FMS OPERATIONS - EAST ZONE
Location: Pittsburgh</v>
          </cell>
          <cell r="F15" t="str">
            <v>03/23/2026 - 04/05/2026  (Biweekly)</v>
          </cell>
          <cell r="G15" t="str">
            <v>Union Dues L95</v>
          </cell>
          <cell r="H15" t="str">
            <v>UDL95</v>
          </cell>
          <cell r="I15" t="str">
            <v>Automatic Pay Components
EC and Ded for Faculty Leave
Pay Components to resolve for Off Cycle
Post Tax Deductions
Union Dues
Withholding Order (All): Mandatory Union Dues [USA]</v>
          </cell>
          <cell r="J15">
            <v>50.44</v>
          </cell>
        </row>
        <row r="16">
          <cell r="C16" t="str">
            <v>mbpl</v>
          </cell>
          <cell r="D16" t="str">
            <v>Carnegie Mellon University</v>
          </cell>
          <cell r="E16" t="str">
            <v>Business Unit: 01 GENERAL
Cost Center: 530303 FMS OPERATIONS - SECOND SHIFT
Location: Pittsburgh</v>
          </cell>
          <cell r="F16" t="str">
            <v>03/23/2026 - 04/05/2026  (Biweekly)</v>
          </cell>
          <cell r="G16" t="str">
            <v>Union Dues L95</v>
          </cell>
          <cell r="H16" t="str">
            <v>UDL95</v>
          </cell>
          <cell r="I16" t="str">
            <v>Automatic Pay Components
EC and Ded for Faculty Leave
Pay Components to resolve for Off Cycle
Post Tax Deductions
Union Dues
Withholding Order (All): Mandatory Union Dues [USA]</v>
          </cell>
          <cell r="J16">
            <v>52.36</v>
          </cell>
        </row>
        <row r="17">
          <cell r="C17" t="str">
            <v>markbaum</v>
          </cell>
          <cell r="D17" t="str">
            <v>Carnegie Mellon University</v>
          </cell>
          <cell r="E17" t="str">
            <v>Business Unit: 01 GENERAL
Cost Center: 530311 FMS - NEW EMPLOYEE DEV
Location: Pittsburgh</v>
          </cell>
          <cell r="F17" t="str">
            <v>03/23/2026 - 04/05/2026  (Biweekly)</v>
          </cell>
          <cell r="G17" t="str">
            <v>Union Dues L95</v>
          </cell>
          <cell r="H17" t="str">
            <v>UDL95</v>
          </cell>
          <cell r="I17" t="str">
            <v>Automatic Pay Components
EC and Ded for Faculty Leave
Pay Components to resolve for Off Cycle
Post Tax Deductions
Union Dues
Withholding Order (All): Mandatory Union Dues [USA]</v>
          </cell>
          <cell r="J17">
            <v>42.69</v>
          </cell>
        </row>
        <row r="18">
          <cell r="C18" t="str">
            <v>stevenbo</v>
          </cell>
          <cell r="D18" t="str">
            <v>Carnegie Mellon University</v>
          </cell>
          <cell r="E18" t="str">
            <v>Business Unit: 01 GENERAL
Cost Center: 530303 FMS OPERATIONS - SECOND SHIFT
Location: Pittsburgh</v>
          </cell>
          <cell r="F18" t="str">
            <v>03/23/2026 - 04/05/2026  (Biweekly)</v>
          </cell>
          <cell r="G18" t="str">
            <v>Union Dues L95</v>
          </cell>
          <cell r="H18" t="str">
            <v>UDL95</v>
          </cell>
          <cell r="I18" t="str">
            <v>Automatic Pay Components
EC and Ded for Faculty Leave
Pay Components to resolve for Off Cycle
Post Tax Deductions
Union Dues
Withholding Order (All): Mandatory Union Dues [USA]</v>
          </cell>
          <cell r="J18">
            <v>34.299999999999997</v>
          </cell>
        </row>
        <row r="19">
          <cell r="C19" t="str">
            <v>tbosco2</v>
          </cell>
          <cell r="D19" t="str">
            <v>Carnegie Mellon University</v>
          </cell>
          <cell r="E19" t="str">
            <v>Business Unit: 01 GENERAL
Cost Center: 530302 FMS OPERATIONS - STRUCTURAL SHOP
Location: Pittsburgh</v>
          </cell>
          <cell r="F19" t="str">
            <v>03/23/2026 - 04/05/2026  (Biweekly)</v>
          </cell>
          <cell r="G19" t="str">
            <v>Union Dues L95</v>
          </cell>
          <cell r="H19" t="str">
            <v>UDL95</v>
          </cell>
          <cell r="I19" t="str">
            <v>Automatic Pay Components
EC and Ded for Faculty Leave
Pay Components to resolve for Off Cycle
Post Tax Deductions
Union Dues
Withholding Order (All): Mandatory Union Dues [USA]</v>
          </cell>
          <cell r="J19">
            <v>48.36</v>
          </cell>
        </row>
        <row r="20">
          <cell r="C20" t="str">
            <v>cbrownin</v>
          </cell>
          <cell r="D20" t="str">
            <v>Carnegie Mellon University</v>
          </cell>
          <cell r="E20" t="str">
            <v>Business Unit: 01 GENERAL
Cost Center: 530303 FMS OPERATIONS - SECOND SHIFT
Location: Pittsburgh</v>
          </cell>
          <cell r="F20" t="str">
            <v>03/23/2026 - 04/05/2026  (Biweekly)</v>
          </cell>
          <cell r="G20" t="str">
            <v>Union Dues L95</v>
          </cell>
          <cell r="H20" t="str">
            <v>UDL95</v>
          </cell>
          <cell r="I20" t="str">
            <v>Automatic Pay Components
EC and Ded for Faculty Leave
Pay Components to resolve for Off Cycle
Post Tax Deductions
Union Dues
Withholding Order (All): Mandatory Union Dues [USA]</v>
          </cell>
          <cell r="J20">
            <v>47.39</v>
          </cell>
        </row>
        <row r="21">
          <cell r="C21" t="str">
            <v>gwb</v>
          </cell>
          <cell r="D21" t="str">
            <v>Carnegie Mellon University</v>
          </cell>
          <cell r="E21" t="str">
            <v>Business Unit: 01 GENERAL
Cost Center: 530303 FMS OPERATIONS - SECOND SHIFT
Location: Pittsburgh</v>
          </cell>
          <cell r="F21" t="str">
            <v>03/23/2026 - 04/05/2026  (Biweekly)</v>
          </cell>
          <cell r="G21" t="str">
            <v>Union Dues L95</v>
          </cell>
          <cell r="H21" t="str">
            <v>UDL95</v>
          </cell>
          <cell r="I21" t="str">
            <v>Automatic Pay Components
EC and Ded for Faculty Leave
Pay Components to resolve for Off Cycle
Post Tax Deductions
Union Dues
Withholding Order (All): Mandatory Union Dues [USA]</v>
          </cell>
          <cell r="J21">
            <v>50.44</v>
          </cell>
        </row>
        <row r="22">
          <cell r="C22" t="str">
            <v>ccaley</v>
          </cell>
          <cell r="D22" t="str">
            <v>Carnegie Mellon University</v>
          </cell>
          <cell r="E22" t="str">
            <v>Business Unit: 01 GENERAL
Cost Center: 530302 FMS OPERATIONS - STRUCTURAL SHOP
Location: Pittsburgh</v>
          </cell>
          <cell r="F22" t="str">
            <v>03/23/2026 - 04/05/2026  (Biweekly)</v>
          </cell>
          <cell r="G22" t="str">
            <v>Union Dues L95</v>
          </cell>
          <cell r="H22" t="str">
            <v>UDL95</v>
          </cell>
          <cell r="I22" t="str">
            <v>Automatic Pay Components
EC and Ded for Faculty Leave
Pay Components to resolve for Off Cycle
Post Tax Deductions
Union Dues
Withholding Order (All): Mandatory Union Dues [USA]</v>
          </cell>
          <cell r="J22">
            <v>0</v>
          </cell>
        </row>
        <row r="23">
          <cell r="C23" t="str">
            <v>dc04</v>
          </cell>
          <cell r="D23" t="str">
            <v>Carnegie Mellon University</v>
          </cell>
          <cell r="E23" t="str">
            <v>Business Unit: 01 GENERAL
Cost Center: 530302 FMS OPERATIONS - STRUCTURAL SHOP
Location: Pittsburgh</v>
          </cell>
          <cell r="F23" t="str">
            <v>03/23/2026 - 04/05/2026  (Biweekly)</v>
          </cell>
          <cell r="G23" t="str">
            <v>Union Dues L95</v>
          </cell>
          <cell r="H23" t="str">
            <v>UDL95</v>
          </cell>
          <cell r="I23" t="str">
            <v>Automatic Pay Components
EC and Ded for Faculty Leave
Pay Components to resolve for Off Cycle
Post Tax Deductions
Union Dues
Withholding Order (All): Mandatory Union Dues [USA]</v>
          </cell>
          <cell r="J23">
            <v>50.21</v>
          </cell>
        </row>
        <row r="24">
          <cell r="C24" t="str">
            <v>wchampo</v>
          </cell>
          <cell r="D24" t="str">
            <v>Carnegie Mellon University</v>
          </cell>
          <cell r="E24" t="str">
            <v>Business Unit: 01 GENERAL
Cost Center: 530319 FMS OPERATIONS - EAST ZONE
Location: Pittsburgh</v>
          </cell>
          <cell r="F24" t="str">
            <v>03/23/2026 - 04/05/2026  (Biweekly)</v>
          </cell>
          <cell r="G24" t="str">
            <v>Union Dues L95</v>
          </cell>
          <cell r="H24" t="str">
            <v>UDL95</v>
          </cell>
          <cell r="I24" t="str">
            <v>Automatic Pay Components
EC and Ded for Faculty Leave
Pay Components to resolve for Off Cycle
Post Tax Deductions
Union Dues
Withholding Order (All): Mandatory Union Dues [USA]</v>
          </cell>
          <cell r="J24">
            <v>50.44</v>
          </cell>
        </row>
        <row r="25">
          <cell r="C25" t="str">
            <v>jameschr</v>
          </cell>
          <cell r="D25" t="str">
            <v>Carnegie Mellon University</v>
          </cell>
          <cell r="E25" t="str">
            <v>Business Unit: 01 GENERAL
Cost Center: 530308 FMS OPERATIONS - CRAIG ST
Location: Pittsburgh</v>
          </cell>
          <cell r="F25" t="str">
            <v>03/23/2026 - 04/05/2026  (Biweekly)</v>
          </cell>
          <cell r="G25" t="str">
            <v>Union Dues L95</v>
          </cell>
          <cell r="H25" t="str">
            <v>UDL95</v>
          </cell>
          <cell r="I25" t="str">
            <v>Automatic Pay Components
EC and Ded for Faculty Leave
Pay Components to resolve for Off Cycle
Post Tax Deductions
Union Dues
Withholding Order (All): Mandatory Union Dues [USA]</v>
          </cell>
          <cell r="J25">
            <v>42.69</v>
          </cell>
        </row>
        <row r="26">
          <cell r="C26" t="str">
            <v>rclarke</v>
          </cell>
          <cell r="D26" t="str">
            <v>Carnegie Mellon University</v>
          </cell>
          <cell r="E26" t="str">
            <v>Business Unit: 01 GENERAL
Cost Center: 530309 FMS OPERATIONS - FORBES
Location: Pittsburgh</v>
          </cell>
          <cell r="F26" t="str">
            <v>03/23/2026 - 04/05/2026  (Biweekly)</v>
          </cell>
          <cell r="G26" t="str">
            <v>Union Dues L95</v>
          </cell>
          <cell r="H26" t="str">
            <v>UDL95</v>
          </cell>
          <cell r="I26" t="str">
            <v>Automatic Pay Components
EC and Ded for Faculty Leave
Pay Components to resolve for Off Cycle
Post Tax Deductions
Union Dues
Withholding Order (All): Mandatory Union Dues [USA]</v>
          </cell>
          <cell r="J26">
            <v>34.299999999999997</v>
          </cell>
        </row>
        <row r="27">
          <cell r="C27" t="str">
            <v>wcline</v>
          </cell>
          <cell r="D27" t="str">
            <v>Carnegie Mellon University</v>
          </cell>
          <cell r="E27" t="str">
            <v>Business Unit: 01 GENERAL
Cost Center: 530305 FMS OPERATIONS - HOUSING MAINTENANCE
Location: Pittsburgh</v>
          </cell>
          <cell r="F27" t="str">
            <v>03/23/2026 - 04/05/2026  (Biweekly)</v>
          </cell>
          <cell r="G27" t="str">
            <v>Union Dues L95</v>
          </cell>
          <cell r="H27" t="str">
            <v>UDL95</v>
          </cell>
          <cell r="I27" t="str">
            <v>Automatic Pay Components
EC and Ded for Faculty Leave
Pay Components to resolve for Off Cycle
Post Tax Deductions
Union Dues
Withholding Order (All): Mandatory Union Dues [USA]</v>
          </cell>
          <cell r="J27">
            <v>52.36</v>
          </cell>
        </row>
        <row r="28">
          <cell r="C28" t="str">
            <v>kennyc</v>
          </cell>
          <cell r="D28" t="str">
            <v>Carnegie Mellon University</v>
          </cell>
          <cell r="E28" t="str">
            <v>Business Unit: 01 GENERAL
Cost Center: 530303 FMS OPERATIONS - SECOND SHIFT
Location: Pittsburgh</v>
          </cell>
          <cell r="F28" t="str">
            <v>03/23/2026 - 04/05/2026  (Biweekly)</v>
          </cell>
          <cell r="G28" t="str">
            <v>Union Dues L95</v>
          </cell>
          <cell r="H28" t="str">
            <v>UDL95</v>
          </cell>
          <cell r="I28" t="str">
            <v>Automatic Pay Components
EC and Ded for Faculty Leave
Pay Components to resolve for Off Cycle
Post Tax Deductions
Union Dues
Withholding Order (All): Mandatory Union Dues [USA]</v>
          </cell>
          <cell r="J28">
            <v>34.299999999999997</v>
          </cell>
        </row>
        <row r="29">
          <cell r="C29" t="str">
            <v>wcraig</v>
          </cell>
          <cell r="D29" t="str">
            <v>Carnegie Mellon University</v>
          </cell>
          <cell r="E29" t="str">
            <v>Business Unit: 01 GENERAL
Cost Center: 530305 FMS OPERATIONS - HOUSING MAINTENANCE
Location: Pittsburgh</v>
          </cell>
          <cell r="F29" t="str">
            <v>03/23/2026 - 04/05/2026  (Biweekly)</v>
          </cell>
          <cell r="G29" t="str">
            <v>Union Dues L95</v>
          </cell>
          <cell r="H29" t="str">
            <v>UDL95</v>
          </cell>
          <cell r="I29" t="str">
            <v>Automatic Pay Components
EC and Ded for Faculty Leave
Pay Components to resolve for Off Cycle
Post Tax Deductions
Union Dues
Withholding Order (All): Mandatory Union Dues [USA]</v>
          </cell>
          <cell r="J29">
            <v>52.36</v>
          </cell>
        </row>
        <row r="30">
          <cell r="C30" t="str">
            <v>codycraw</v>
          </cell>
          <cell r="D30" t="str">
            <v>Carnegie Mellon University</v>
          </cell>
          <cell r="E30" t="str">
            <v>Business Unit: 01 GENERAL
Cost Center: 530315 FMS OPERATIONS - STOREROOM/INVENTORY
Location: Pittsburgh</v>
          </cell>
          <cell r="F30" t="str">
            <v>03/23/2026 - 04/05/2026  (Biweekly)</v>
          </cell>
          <cell r="G30" t="str">
            <v>Union Dues L95</v>
          </cell>
          <cell r="H30" t="str">
            <v>UDL95</v>
          </cell>
          <cell r="I30" t="str">
            <v>Automatic Pay Components
EC and Ded for Faculty Leave
Pay Components to resolve for Off Cycle
Post Tax Deductions
Union Dues
Withholding Order (All): Mandatory Union Dues [USA]</v>
          </cell>
          <cell r="J30">
            <v>33.96</v>
          </cell>
        </row>
        <row r="31">
          <cell r="C31" t="str">
            <v>ecurges</v>
          </cell>
          <cell r="D31" t="str">
            <v>Carnegie Mellon University</v>
          </cell>
          <cell r="E31" t="str">
            <v>Business Unit: 01 GENERAL
Cost Center: 530311 FMS - NEW EMPLOYEE DEV
Location: Pittsburgh</v>
          </cell>
          <cell r="F31" t="str">
            <v>03/23/2026 - 04/05/2026  (Biweekly)</v>
          </cell>
          <cell r="G31" t="str">
            <v>Union Dues L95</v>
          </cell>
          <cell r="H31" t="str">
            <v>UDL95</v>
          </cell>
          <cell r="I31" t="str">
            <v>Automatic Pay Components
EC and Ded for Faculty Leave
Pay Components to resolve for Off Cycle
Post Tax Deductions
Union Dues
Withholding Order (All): Mandatory Union Dues [USA]</v>
          </cell>
          <cell r="J31">
            <v>300</v>
          </cell>
        </row>
        <row r="32">
          <cell r="C32" t="str">
            <v>ecurges</v>
          </cell>
          <cell r="D32" t="str">
            <v>Carnegie Mellon University</v>
          </cell>
          <cell r="E32" t="str">
            <v>Business Unit: 01 GENERAL
Cost Center: 530311 FMS - NEW EMPLOYEE DEV
Location: Pittsburgh</v>
          </cell>
          <cell r="F32" t="str">
            <v>03/23/2026 - 04/05/2026  (Biweekly)</v>
          </cell>
          <cell r="G32" t="str">
            <v>Union Dues L95</v>
          </cell>
          <cell r="H32" t="str">
            <v>UDL95</v>
          </cell>
          <cell r="I32" t="str">
            <v>Automatic Pay Components
EC and Ded for Faculty Leave
Pay Components to resolve for Off Cycle
Post Tax Deductions
Union Dues
Withholding Order (All): Mandatory Union Dues [USA]</v>
          </cell>
          <cell r="J32">
            <v>47.39</v>
          </cell>
        </row>
        <row r="33">
          <cell r="C33" t="str">
            <v>rcylenic</v>
          </cell>
          <cell r="D33" t="str">
            <v>Carnegie Mellon University</v>
          </cell>
          <cell r="E33" t="str">
            <v>Business Unit: 01 GENERAL
Cost Center: 530303 FMS OPERATIONS - SECOND SHIFT
Location: Pittsburgh</v>
          </cell>
          <cell r="F33" t="str">
            <v>03/23/2026 - 04/05/2026  (Biweekly)</v>
          </cell>
          <cell r="G33" t="str">
            <v>Union Dues L95</v>
          </cell>
          <cell r="H33" t="str">
            <v>UDL95</v>
          </cell>
          <cell r="I33" t="str">
            <v>Automatic Pay Components
EC and Ded for Faculty Leave
Pay Components to resolve for Off Cycle
Post Tax Deductions
Union Dues
Withholding Order (All): Mandatory Union Dues [USA]</v>
          </cell>
          <cell r="J33">
            <v>52.36</v>
          </cell>
        </row>
        <row r="34">
          <cell r="C34" t="str">
            <v>wdavis2</v>
          </cell>
          <cell r="D34" t="str">
            <v>Carnegie Mellon University</v>
          </cell>
          <cell r="E34" t="str">
            <v>Business Unit: 01 GENERAL
Cost Center: 530303 FMS OPERATIONS - SECOND SHIFT
Location: Pittsburgh</v>
          </cell>
          <cell r="F34" t="str">
            <v>03/23/2026 - 04/05/2026  (Biweekly)</v>
          </cell>
          <cell r="G34" t="str">
            <v>Union Dues L95</v>
          </cell>
          <cell r="H34" t="str">
            <v>UDL95</v>
          </cell>
          <cell r="I34" t="str">
            <v>Automatic Pay Components
EC and Ded for Faculty Leave
Pay Components to resolve for Off Cycle
Post Tax Deductions
Union Dues
Withholding Order (All): Mandatory Union Dues [USA]</v>
          </cell>
          <cell r="J34">
            <v>50.44</v>
          </cell>
        </row>
        <row r="35">
          <cell r="C35" t="str">
            <v>rdeighan</v>
          </cell>
          <cell r="D35" t="str">
            <v>Carnegie Mellon University</v>
          </cell>
          <cell r="E35" t="str">
            <v>Business Unit: 01 GENERAL
Cost Center: 530308 FMS OPERATIONS - CRAIG ST
Location: Pittsburgh</v>
          </cell>
          <cell r="F35" t="str">
            <v>03/23/2026 - 04/05/2026  (Biweekly)</v>
          </cell>
          <cell r="G35" t="str">
            <v>Union Dues L95</v>
          </cell>
          <cell r="H35" t="str">
            <v>UDL95</v>
          </cell>
          <cell r="I35" t="str">
            <v>Automatic Pay Components
EC and Ded for Faculty Leave
Pay Components to resolve for Off Cycle
Post Tax Deductions
Union Dues
Withholding Order (All): Mandatory Union Dues [USA]</v>
          </cell>
          <cell r="J35">
            <v>52.36</v>
          </cell>
        </row>
        <row r="36">
          <cell r="C36" t="str">
            <v>sdenne</v>
          </cell>
          <cell r="D36" t="str">
            <v>Carnegie Mellon University</v>
          </cell>
          <cell r="E36" t="str">
            <v>Business Unit: 01 GENERAL
Cost Center: 530304 FMS OPERATIONS - GARDENERS
Location: Pittsburgh</v>
          </cell>
          <cell r="F36" t="str">
            <v>03/23/2026 - 04/05/2026  (Biweekly)</v>
          </cell>
          <cell r="G36" t="str">
            <v>Union Dues L95</v>
          </cell>
          <cell r="H36" t="str">
            <v>UDL95</v>
          </cell>
          <cell r="I36" t="str">
            <v>Automatic Pay Components
EC and Ded for Faculty Leave
Pay Components to resolve for Off Cycle
Post Tax Deductions
Union Dues
Withholding Order (All): Mandatory Union Dues [USA]</v>
          </cell>
          <cell r="J36">
            <v>39.86</v>
          </cell>
        </row>
        <row r="37">
          <cell r="C37" t="str">
            <v>tfetterm</v>
          </cell>
          <cell r="D37" t="str">
            <v>Carnegie Mellon University</v>
          </cell>
          <cell r="E37" t="str">
            <v>Business Unit: 01 GENERAL
Cost Center: 530303 FMS OPERATIONS - SECOND SHIFT
Location: Pittsburgh</v>
          </cell>
          <cell r="F37" t="str">
            <v>03/23/2026 - 04/05/2026  (Biweekly)</v>
          </cell>
          <cell r="G37" t="str">
            <v>Union Dues L95</v>
          </cell>
          <cell r="H37" t="str">
            <v>UDL95</v>
          </cell>
          <cell r="I37" t="str">
            <v>Automatic Pay Components
EC and Ded for Faculty Leave
Pay Components to resolve for Off Cycle
Post Tax Deductions
Union Dues
Withholding Order (All): Mandatory Union Dues [USA]</v>
          </cell>
          <cell r="J37">
            <v>47.39</v>
          </cell>
        </row>
        <row r="38">
          <cell r="C38" t="str">
            <v>mfife</v>
          </cell>
          <cell r="D38" t="str">
            <v>Carnegie Mellon University</v>
          </cell>
          <cell r="E38" t="str">
            <v>Business Unit: 01 GENERAL
Cost Center: 530309 FMS OPERATIONS - FORBES
Location: Pittsburgh</v>
          </cell>
          <cell r="F38" t="str">
            <v>03/23/2026 - 04/05/2026  (Biweekly)</v>
          </cell>
          <cell r="G38" t="str">
            <v>Union Dues L95</v>
          </cell>
          <cell r="H38" t="str">
            <v>UDL95</v>
          </cell>
          <cell r="I38" t="str">
            <v>Automatic Pay Components
EC and Ded for Faculty Leave
Pay Components to resolve for Off Cycle
Post Tax Deductions
Union Dues
Withholding Order (All): Mandatory Union Dues [USA]</v>
          </cell>
          <cell r="J38">
            <v>34.299999999999997</v>
          </cell>
        </row>
        <row r="39">
          <cell r="C39" t="str">
            <v>afohl</v>
          </cell>
          <cell r="D39" t="str">
            <v>Carnegie Mellon University</v>
          </cell>
          <cell r="E39" t="str">
            <v>Business Unit: 01 GENERAL
Cost Center: 530302 FMS OPERATIONS - STRUCTURAL SHOP
Location: Pittsburgh</v>
          </cell>
          <cell r="F39" t="str">
            <v>03/23/2026 - 04/05/2026  (Biweekly)</v>
          </cell>
          <cell r="G39" t="str">
            <v>Union Dues L95</v>
          </cell>
          <cell r="H39" t="str">
            <v>UDL95</v>
          </cell>
          <cell r="I39" t="str">
            <v>Automatic Pay Components
EC and Ded for Faculty Leave
Pay Components to resolve for Off Cycle
Post Tax Deductions
Union Dues
Withholding Order (All): Mandatory Union Dues [USA]</v>
          </cell>
          <cell r="J39">
            <v>48.36</v>
          </cell>
        </row>
        <row r="40">
          <cell r="C40" t="str">
            <v>mfrantz</v>
          </cell>
          <cell r="D40" t="str">
            <v>Carnegie Mellon University</v>
          </cell>
          <cell r="E40" t="str">
            <v>Business Unit: 01 GENERAL
Cost Center: 530304 FMS OPERATIONS - GARDENERS
Location: Pittsburgh</v>
          </cell>
          <cell r="F40" t="str">
            <v>03/23/2026 - 04/05/2026  (Biweekly)</v>
          </cell>
          <cell r="G40" t="str">
            <v>Union Dues L95</v>
          </cell>
          <cell r="H40" t="str">
            <v>UDL95</v>
          </cell>
          <cell r="I40" t="str">
            <v>Automatic Pay Components
EC and Ded for Faculty Leave
Pay Components to resolve for Off Cycle
Post Tax Deductions
Union Dues
Withholding Order (All): Mandatory Union Dues [USA]</v>
          </cell>
          <cell r="J40">
            <v>39.86</v>
          </cell>
        </row>
        <row r="41">
          <cell r="C41" t="str">
            <v>dg24</v>
          </cell>
          <cell r="D41" t="str">
            <v>Carnegie Mellon University</v>
          </cell>
          <cell r="E41" t="str">
            <v>Business Unit: 01 GENERAL
Cost Center: 530302 FMS OPERATIONS - STRUCTURAL SHOP
Location: Pittsburgh</v>
          </cell>
          <cell r="F41" t="str">
            <v>03/23/2026 - 04/05/2026  (Biweekly)</v>
          </cell>
          <cell r="G41" t="str">
            <v>Union Dues L95</v>
          </cell>
          <cell r="H41" t="str">
            <v>UDL95</v>
          </cell>
          <cell r="I41" t="str">
            <v>Automatic Pay Components
EC and Ded for Faculty Leave
Pay Components to resolve for Off Cycle
Post Tax Deductions
Union Dues
Withholding Order (All): Mandatory Union Dues [USA]</v>
          </cell>
          <cell r="J41">
            <v>53.19</v>
          </cell>
        </row>
        <row r="42">
          <cell r="C42" t="str">
            <v>ryangilm</v>
          </cell>
          <cell r="D42" t="str">
            <v>Carnegie Mellon University</v>
          </cell>
          <cell r="E42" t="str">
            <v>Business Unit: 01 GENERAL
Cost Center: 530302 FMS OPERATIONS - STRUCTURAL SHOP
Location: Pittsburgh</v>
          </cell>
          <cell r="F42" t="str">
            <v>03/23/2026 - 04/05/2026  (Biweekly)</v>
          </cell>
          <cell r="G42" t="str">
            <v>Union Dues L95</v>
          </cell>
          <cell r="H42" t="str">
            <v>UDL95</v>
          </cell>
          <cell r="I42" t="str">
            <v>Automatic Pay Components
EC and Ded for Faculty Leave
Pay Components to resolve for Off Cycle
Post Tax Deductions
Union Dues
Withholding Order (All): Mandatory Union Dues [USA]</v>
          </cell>
          <cell r="J42">
            <v>48.36</v>
          </cell>
        </row>
        <row r="43">
          <cell r="C43" t="str">
            <v>mg77</v>
          </cell>
          <cell r="D43" t="str">
            <v>Carnegie Mellon University</v>
          </cell>
          <cell r="E43" t="str">
            <v>Business Unit: 01 GENERAL
Cost Center: 530309 FMS OPERATIONS - FORBES
Location: Pittsburgh</v>
          </cell>
          <cell r="F43" t="str">
            <v>03/23/2026 - 04/05/2026  (Biweekly)</v>
          </cell>
          <cell r="G43" t="str">
            <v>Union Dues L95</v>
          </cell>
          <cell r="H43" t="str">
            <v>UDL95</v>
          </cell>
          <cell r="I43" t="str">
            <v>Automatic Pay Components
EC and Ded for Faculty Leave
Pay Components to resolve for Off Cycle
Post Tax Deductions
Union Dues
Withholding Order (All): Mandatory Union Dues [USA]</v>
          </cell>
          <cell r="J43">
            <v>55.49</v>
          </cell>
        </row>
        <row r="44">
          <cell r="C44" t="str">
            <v>bg2m</v>
          </cell>
          <cell r="D44" t="str">
            <v>Carnegie Mellon University</v>
          </cell>
          <cell r="E44" t="str">
            <v>Business Unit: 01 GENERAL
Cost Center: 530317 FMS OPERATIONS - WEST CAMPUS
Location: Pittsburgh</v>
          </cell>
          <cell r="F44" t="str">
            <v>03/23/2026 - 04/05/2026  (Biweekly)</v>
          </cell>
          <cell r="G44" t="str">
            <v>Union Dues L95</v>
          </cell>
          <cell r="H44" t="str">
            <v>UDL95</v>
          </cell>
          <cell r="I44" t="str">
            <v>Automatic Pay Components
EC and Ded for Faculty Leave
Pay Components to resolve for Off Cycle
Post Tax Deductions
Union Dues
Withholding Order (All): Mandatory Union Dues [USA]</v>
          </cell>
          <cell r="J44">
            <v>0</v>
          </cell>
        </row>
        <row r="45">
          <cell r="C45" t="str">
            <v>bg2n</v>
          </cell>
          <cell r="D45" t="str">
            <v>Carnegie Mellon University</v>
          </cell>
          <cell r="E45" t="str">
            <v>Business Unit: 01 GENERAL
Cost Center: 530303 FMS OPERATIONS - SECOND SHIFT
Location: Pittsburgh</v>
          </cell>
          <cell r="F45" t="str">
            <v>03/23/2026 - 04/05/2026  (Biweekly)</v>
          </cell>
          <cell r="G45" t="str">
            <v>Union Dues L95</v>
          </cell>
          <cell r="H45" t="str">
            <v>UDL95</v>
          </cell>
          <cell r="I45" t="str">
            <v>Automatic Pay Components
EC and Ded for Faculty Leave
Pay Components to resolve for Off Cycle
Post Tax Deductions
Union Dues
Withholding Order (All): Mandatory Union Dues [USA]</v>
          </cell>
          <cell r="J45">
            <v>52.36</v>
          </cell>
        </row>
        <row r="46">
          <cell r="C46" t="str">
            <v>tlgray</v>
          </cell>
          <cell r="D46" t="str">
            <v>Carnegie Mellon University</v>
          </cell>
          <cell r="E46" t="str">
            <v>Business Unit: 01 GENERAL
Cost Center: 530303 FMS OPERATIONS - SECOND SHIFT
Location: Pittsburgh</v>
          </cell>
          <cell r="F46" t="str">
            <v>03/23/2026 - 04/05/2026  (Biweekly)</v>
          </cell>
          <cell r="G46" t="str">
            <v>Union Dues L95</v>
          </cell>
          <cell r="H46" t="str">
            <v>UDL95</v>
          </cell>
          <cell r="I46" t="str">
            <v>Automatic Pay Components
EC and Ded for Faculty Leave
Pay Components to resolve for Off Cycle
Post Tax Deductions
Union Dues
Withholding Order (All): Mandatory Union Dues [USA]</v>
          </cell>
          <cell r="J46">
            <v>34.299999999999997</v>
          </cell>
        </row>
        <row r="47">
          <cell r="C47" t="str">
            <v>ggregg</v>
          </cell>
          <cell r="D47" t="str">
            <v>Carnegie Mellon University</v>
          </cell>
          <cell r="E47" t="str">
            <v>Business Unit: 01 GENERAL
Cost Center: 530311 FMS - NEW EMPLOYEE DEV
Location: Pittsburgh</v>
          </cell>
          <cell r="F47" t="str">
            <v>03/23/2026 - 04/05/2026  (Biweekly)</v>
          </cell>
          <cell r="G47" t="str">
            <v>Union Dues L95</v>
          </cell>
          <cell r="H47" t="str">
            <v>UDL95</v>
          </cell>
          <cell r="I47" t="str">
            <v>Automatic Pay Components
EC and Ded for Faculty Leave
Pay Components to resolve for Off Cycle
Post Tax Deductions
Union Dues
Withholding Order (All): Mandatory Union Dues [USA]</v>
          </cell>
          <cell r="J47">
            <v>44.12</v>
          </cell>
        </row>
        <row r="48">
          <cell r="C48" t="str">
            <v>mgroman</v>
          </cell>
          <cell r="D48" t="str">
            <v>Carnegie Mellon University</v>
          </cell>
          <cell r="E48" t="str">
            <v>Business Unit: 01 GENERAL
Cost Center: 530302 FMS OPERATIONS - STRUCTURAL SHOP
Location: Pittsburgh</v>
          </cell>
          <cell r="F48" t="str">
            <v>03/23/2026 - 04/05/2026  (Biweekly)</v>
          </cell>
          <cell r="G48" t="str">
            <v>Union Dues L95</v>
          </cell>
          <cell r="H48" t="str">
            <v>UDL95</v>
          </cell>
          <cell r="I48" t="str">
            <v>Automatic Pay Components
EC and Ded for Faculty Leave
Pay Components to resolve for Off Cycle
Post Tax Deductions
Union Dues
Withholding Order (All): Mandatory Union Dues [USA]</v>
          </cell>
          <cell r="J48">
            <v>48.36</v>
          </cell>
        </row>
        <row r="49">
          <cell r="C49" t="str">
            <v>crha</v>
          </cell>
          <cell r="D49" t="str">
            <v>Carnegie Mellon University</v>
          </cell>
          <cell r="E49" t="str">
            <v>Business Unit: 01 GENERAL
Cost Center: 530319 FMS OPERATIONS - EAST ZONE
Location: Pittsburgh</v>
          </cell>
          <cell r="F49" t="str">
            <v>03/23/2026 - 04/05/2026  (Biweekly)</v>
          </cell>
          <cell r="G49" t="str">
            <v>Union Dues L95</v>
          </cell>
          <cell r="H49" t="str">
            <v>UDL95</v>
          </cell>
          <cell r="I49" t="str">
            <v>Automatic Pay Components
EC and Ded for Faculty Leave
Pay Components to resolve for Off Cycle
Post Tax Deductions
Union Dues
Withholding Order (All): Mandatory Union Dues [USA]</v>
          </cell>
          <cell r="J49">
            <v>0</v>
          </cell>
        </row>
        <row r="50">
          <cell r="C50" t="str">
            <v>ch02</v>
          </cell>
          <cell r="D50" t="str">
            <v>Carnegie Mellon University</v>
          </cell>
          <cell r="E50" t="str">
            <v>Business Unit: 01 GENERAL
Cost Center: 530305 FMS OPERATIONS - HOUSING MAINTENANCE
Location: Pittsburgh</v>
          </cell>
          <cell r="F50" t="str">
            <v>03/23/2026 - 04/05/2026  (Biweekly)</v>
          </cell>
          <cell r="G50" t="str">
            <v>Union Dues L95</v>
          </cell>
          <cell r="H50" t="str">
            <v>UDL95</v>
          </cell>
          <cell r="I50" t="str">
            <v>Automatic Pay Components
EC and Ded for Faculty Leave
Pay Components to resolve for Off Cycle
Post Tax Deductions
Union Dues
Withholding Order (All): Mandatory Union Dues [USA]</v>
          </cell>
          <cell r="J50">
            <v>34.299999999999997</v>
          </cell>
        </row>
        <row r="51">
          <cell r="C51" t="str">
            <v>bhartran</v>
          </cell>
          <cell r="D51" t="str">
            <v>Carnegie Mellon University</v>
          </cell>
          <cell r="E51" t="str">
            <v>Business Unit: 01 GENERAL
Cost Center: 530304 FMS OPERATIONS - GARDENERS
Location: Pittsburgh</v>
          </cell>
          <cell r="F51" t="str">
            <v>03/23/2026 - 04/05/2026  (Biweekly)</v>
          </cell>
          <cell r="G51" t="str">
            <v>Union Dues L95</v>
          </cell>
          <cell r="H51" t="str">
            <v>UDL95</v>
          </cell>
          <cell r="I51" t="str">
            <v>Automatic Pay Components
EC and Ded for Faculty Leave
Pay Components to resolve for Off Cycle
Post Tax Deductions
Union Dues
Withholding Order (All): Mandatory Union Dues [USA]</v>
          </cell>
          <cell r="J51">
            <v>42.25</v>
          </cell>
        </row>
        <row r="52">
          <cell r="C52" t="str">
            <v>nhatala</v>
          </cell>
          <cell r="D52" t="str">
            <v>Carnegie Mellon University</v>
          </cell>
          <cell r="E52" t="str">
            <v>Business Unit: 01 GENERAL
Cost Center: 530303 FMS OPERATIONS - SECOND SHIFT
Location: Pittsburgh</v>
          </cell>
          <cell r="F52" t="str">
            <v>03/23/2026 - 04/05/2026  (Biweekly)</v>
          </cell>
          <cell r="G52" t="str">
            <v>Union Dues L95</v>
          </cell>
          <cell r="H52" t="str">
            <v>UDL95</v>
          </cell>
          <cell r="I52" t="str">
            <v>Automatic Pay Components
EC and Ded for Faculty Leave
Pay Components to resolve for Off Cycle
Post Tax Deductions
Union Dues
Withholding Order (All): Mandatory Union Dues [USA]</v>
          </cell>
          <cell r="J52">
            <v>50.44</v>
          </cell>
        </row>
        <row r="53">
          <cell r="C53" t="str">
            <v>jhefflin</v>
          </cell>
          <cell r="D53" t="str">
            <v>Carnegie Mellon University</v>
          </cell>
          <cell r="E53" t="str">
            <v>Business Unit: 01 GENERAL
Cost Center: 530311 FMS - NEW EMPLOYEE DEV
Location: Pittsburgh</v>
          </cell>
          <cell r="F53" t="str">
            <v>03/23/2026 - 04/05/2026  (Biweekly)</v>
          </cell>
          <cell r="G53" t="str">
            <v>Union Dues L95</v>
          </cell>
          <cell r="H53" t="str">
            <v>UDL95</v>
          </cell>
          <cell r="I53" t="str">
            <v>Automatic Pay Components
EC and Ded for Faculty Leave
Pay Components to resolve for Off Cycle
Post Tax Deductions
Union Dues
Withholding Order (All): Mandatory Union Dues [USA]</v>
          </cell>
          <cell r="J53">
            <v>41.32</v>
          </cell>
        </row>
        <row r="54">
          <cell r="C54" t="str">
            <v>harryhen</v>
          </cell>
          <cell r="D54" t="str">
            <v>Carnegie Mellon University</v>
          </cell>
          <cell r="E54" t="str">
            <v>Business Unit: 01 GENERAL
Cost Center: 530303 FMS OPERATIONS - SECOND SHIFT
Location: Pittsburgh</v>
          </cell>
          <cell r="F54" t="str">
            <v>03/23/2026 - 04/05/2026  (Biweekly)</v>
          </cell>
          <cell r="G54" t="str">
            <v>Union Dues L95</v>
          </cell>
          <cell r="H54" t="str">
            <v>UDL95</v>
          </cell>
          <cell r="I54" t="str">
            <v>Automatic Pay Components
EC and Ded for Faculty Leave
Pay Components to resolve for Off Cycle
Post Tax Deductions
Union Dues
Withholding Order (All): Mandatory Union Dues [USA]</v>
          </cell>
          <cell r="J54">
            <v>47.39</v>
          </cell>
        </row>
        <row r="55">
          <cell r="C55" t="str">
            <v>jhba</v>
          </cell>
          <cell r="D55" t="str">
            <v>Carnegie Mellon University</v>
          </cell>
          <cell r="E55" t="str">
            <v>Business Unit: 01 GENERAL
Cost Center: 530305 FMS OPERATIONS - HOUSING MAINTENANCE
Location: Pittsburgh</v>
          </cell>
          <cell r="F55" t="str">
            <v>03/23/2026 - 04/05/2026  (Biweekly)</v>
          </cell>
          <cell r="G55" t="str">
            <v>Union Dues L95</v>
          </cell>
          <cell r="H55" t="str">
            <v>UDL95</v>
          </cell>
          <cell r="I55" t="str">
            <v>Automatic Pay Components
EC and Ded for Faculty Leave
Pay Components to resolve for Off Cycle
Post Tax Deductions
Union Dues
Withholding Order (All): Mandatory Union Dues [USA]</v>
          </cell>
          <cell r="J55">
            <v>52.36</v>
          </cell>
        </row>
        <row r="56">
          <cell r="C56" t="str">
            <v>rh4y</v>
          </cell>
          <cell r="D56" t="str">
            <v>Carnegie Mellon University</v>
          </cell>
          <cell r="E56" t="str">
            <v>Business Unit: 01 GENERAL
Cost Center: 530302 FMS OPERATIONS - STRUCTURAL SHOP
Location: Pittsburgh</v>
          </cell>
          <cell r="F56" t="str">
            <v>03/23/2026 - 04/05/2026  (Biweekly)</v>
          </cell>
          <cell r="G56" t="str">
            <v>Union Dues L95</v>
          </cell>
          <cell r="H56" t="str">
            <v>UDL95</v>
          </cell>
          <cell r="I56" t="str">
            <v>Automatic Pay Components
EC and Ded for Faculty Leave
Pay Components to resolve for Off Cycle
Post Tax Deductions
Union Dues
Withholding Order (All): Mandatory Union Dues [USA]</v>
          </cell>
          <cell r="J56">
            <v>48.36</v>
          </cell>
        </row>
        <row r="57">
          <cell r="C57" t="str">
            <v>nholback</v>
          </cell>
          <cell r="D57" t="str">
            <v>Carnegie Mellon University</v>
          </cell>
          <cell r="E57" t="str">
            <v>Business Unit: 01 GENERAL
Cost Center: 530304 FMS OPERATIONS - GARDENERS
Location: Pittsburgh</v>
          </cell>
          <cell r="F57" t="str">
            <v>03/23/2026 - 04/05/2026  (Biweekly)</v>
          </cell>
          <cell r="G57" t="str">
            <v>Union Dues L95</v>
          </cell>
          <cell r="H57" t="str">
            <v>UDL95</v>
          </cell>
          <cell r="I57" t="str">
            <v>Automatic Pay Components
EC and Ded for Faculty Leave
Pay Components to resolve for Off Cycle
Post Tax Deductions
Union Dues
Withholding Order (All): Mandatory Union Dues [USA]</v>
          </cell>
          <cell r="J57">
            <v>45.44</v>
          </cell>
        </row>
        <row r="58">
          <cell r="C58" t="str">
            <v>kjoh</v>
          </cell>
          <cell r="D58" t="str">
            <v>Carnegie Mellon University</v>
          </cell>
          <cell r="E58" t="str">
            <v>Business Unit: 01 GENERAL
Cost Center: 530303 FMS OPERATIONS - SECOND SHIFT
Location: Pittsburgh</v>
          </cell>
          <cell r="F58" t="str">
            <v>03/23/2026 - 04/05/2026  (Biweekly)</v>
          </cell>
          <cell r="G58" t="str">
            <v>Union Dues L95</v>
          </cell>
          <cell r="H58" t="str">
            <v>UDL95</v>
          </cell>
          <cell r="I58" t="str">
            <v>Automatic Pay Components
EC and Ded for Faculty Leave
Pay Components to resolve for Off Cycle
Post Tax Deductions
Union Dues
Withholding Order (All): Mandatory Union Dues [USA]</v>
          </cell>
          <cell r="J58">
            <v>55.49</v>
          </cell>
        </row>
        <row r="59">
          <cell r="C59" t="str">
            <v>kjoh</v>
          </cell>
          <cell r="D59" t="str">
            <v>Carnegie Mellon University</v>
          </cell>
          <cell r="E59" t="str">
            <v>Business Unit: 01 GENERAL
Cost Center: 530303 FMS OPERATIONS - SECOND SHIFT
Location: Pittsburgh</v>
          </cell>
          <cell r="F59" t="str">
            <v>03/23/2026 - 04/05/2026  (Biweekly)</v>
          </cell>
          <cell r="G59" t="str">
            <v>Union Dues L95</v>
          </cell>
          <cell r="H59" t="str">
            <v>UDL95</v>
          </cell>
          <cell r="I59" t="str">
            <v>Automatic Pay Components
EC and Ded for Faculty Leave
Pay Components to resolve for Off Cycle
Post Tax Deductions
Union Dues
Withholding Order (All): Mandatory Union Dues [USA]</v>
          </cell>
          <cell r="J59">
            <v>55.49</v>
          </cell>
        </row>
        <row r="60">
          <cell r="C60" t="str">
            <v>msjones</v>
          </cell>
          <cell r="D60" t="str">
            <v>Carnegie Mellon University</v>
          </cell>
          <cell r="E60" t="str">
            <v>Business Unit: 01 GENERAL
Cost Center: 530317 FMS OPERATIONS - WEST CAMPUS
Location: Pittsburgh</v>
          </cell>
          <cell r="F60" t="str">
            <v>03/23/2026 - 04/05/2026  (Biweekly)</v>
          </cell>
          <cell r="G60" t="str">
            <v>Union Dues L95</v>
          </cell>
          <cell r="H60" t="str">
            <v>UDL95</v>
          </cell>
          <cell r="I60" t="str">
            <v>Automatic Pay Components
EC and Ded for Faculty Leave
Pay Components to resolve for Off Cycle
Post Tax Deductions
Union Dues
Withholding Order (All): Mandatory Union Dues [USA]</v>
          </cell>
          <cell r="J60">
            <v>55.49</v>
          </cell>
        </row>
        <row r="61">
          <cell r="C61" t="str">
            <v>mj2r</v>
          </cell>
          <cell r="D61" t="str">
            <v>Carnegie Mellon University</v>
          </cell>
          <cell r="E61" t="str">
            <v>Business Unit: 01 GENERAL
Cost Center: 530319 FMS OPERATIONS - EAST ZONE
Location: Pittsburgh</v>
          </cell>
          <cell r="F61" t="str">
            <v>03/23/2026 - 04/05/2026  (Biweekly)</v>
          </cell>
          <cell r="G61" t="str">
            <v>Union Dues L95</v>
          </cell>
          <cell r="H61" t="str">
            <v>UDL95</v>
          </cell>
          <cell r="I61" t="str">
            <v>Automatic Pay Components
EC and Ded for Faculty Leave
Pay Components to resolve for Off Cycle
Post Tax Deductions
Union Dues
Withholding Order (All): Mandatory Union Dues [USA]</v>
          </cell>
          <cell r="J61">
            <v>52.36</v>
          </cell>
        </row>
        <row r="62">
          <cell r="C62" t="str">
            <v>mk9a</v>
          </cell>
          <cell r="D62" t="str">
            <v>Carnegie Mellon University</v>
          </cell>
          <cell r="E62" t="str">
            <v>Business Unit: 01 GENERAL
Cost Center: 530302 FMS OPERATIONS - STRUCTURAL SHOP
Location: Pittsburgh</v>
          </cell>
          <cell r="F62" t="str">
            <v>03/23/2026 - 04/05/2026  (Biweekly)</v>
          </cell>
          <cell r="G62" t="str">
            <v>Union Dues L95</v>
          </cell>
          <cell r="H62" t="str">
            <v>UDL95</v>
          </cell>
          <cell r="I62" t="str">
            <v>Automatic Pay Components
EC and Ded for Faculty Leave
Pay Components to resolve for Off Cycle
Post Tax Deductions
Union Dues
Withholding Order (All): Mandatory Union Dues [USA]</v>
          </cell>
          <cell r="J62">
            <v>50.21</v>
          </cell>
        </row>
        <row r="63">
          <cell r="C63" t="str">
            <v>tkeim</v>
          </cell>
          <cell r="D63" t="str">
            <v>Carnegie Mellon University</v>
          </cell>
          <cell r="E63" t="str">
            <v>Business Unit: 01 GENERAL
Cost Center: 530315 FMS OPERATIONS - STOREROOM/INVENTORY
Location: Pittsburgh</v>
          </cell>
          <cell r="F63" t="str">
            <v>03/23/2026 - 04/05/2026  (Biweekly)</v>
          </cell>
          <cell r="G63" t="str">
            <v>Union Dues L95</v>
          </cell>
          <cell r="H63" t="str">
            <v>UDL95</v>
          </cell>
          <cell r="I63" t="str">
            <v>Automatic Pay Components
EC and Ded for Faculty Leave
Pay Components to resolve for Off Cycle
Post Tax Deductions
Union Dues
Withholding Order (All): Mandatory Union Dues [USA]</v>
          </cell>
          <cell r="J63">
            <v>33.96</v>
          </cell>
        </row>
        <row r="64">
          <cell r="C64" t="str">
            <v>dkickler</v>
          </cell>
          <cell r="D64" t="str">
            <v>Carnegie Mellon University</v>
          </cell>
          <cell r="E64" t="str">
            <v>Business Unit: 01 GENERAL
Cost Center: 530302 FMS OPERATIONS - STRUCTURAL SHOP
Location: Pittsburgh</v>
          </cell>
          <cell r="F64" t="str">
            <v>03/23/2026 - 04/05/2026  (Biweekly)</v>
          </cell>
          <cell r="G64" t="str">
            <v>Union Dues L95</v>
          </cell>
          <cell r="H64" t="str">
            <v>UDL95</v>
          </cell>
          <cell r="I64" t="str">
            <v>Automatic Pay Components
EC and Ded for Faculty Leave
Pay Components to resolve for Off Cycle
Post Tax Deductions
Union Dues
Withholding Order (All): Mandatory Union Dues [USA]</v>
          </cell>
          <cell r="J64">
            <v>48.36</v>
          </cell>
        </row>
        <row r="65">
          <cell r="C65" t="str">
            <v>mkotyuk</v>
          </cell>
          <cell r="D65" t="str">
            <v>Carnegie Mellon University</v>
          </cell>
          <cell r="E65" t="str">
            <v>Business Unit: 01 GENERAL
Cost Center: 530304 FMS OPERATIONS - GARDENERS
Location: Pittsburgh</v>
          </cell>
          <cell r="F65" t="str">
            <v>03/23/2026 - 04/05/2026  (Biweekly)</v>
          </cell>
          <cell r="G65" t="str">
            <v>Union Dues L95</v>
          </cell>
          <cell r="H65" t="str">
            <v>UDL95</v>
          </cell>
          <cell r="I65" t="str">
            <v>Automatic Pay Components
EC and Ded for Faculty Leave
Pay Components to resolve for Off Cycle
Post Tax Deductions
Union Dues
Withholding Order (All): Mandatory Union Dues [USA]</v>
          </cell>
          <cell r="J65">
            <v>39.86</v>
          </cell>
        </row>
        <row r="66">
          <cell r="C66" t="str">
            <v>skubrick</v>
          </cell>
          <cell r="D66" t="str">
            <v>Carnegie Mellon University</v>
          </cell>
          <cell r="E66" t="str">
            <v>Business Unit: 01 GENERAL
Cost Center: 530308 FMS OPERATIONS - CRAIG ST
Location: Pittsburgh</v>
          </cell>
          <cell r="F66" t="str">
            <v>03/23/2026 - 04/05/2026  (Biweekly)</v>
          </cell>
          <cell r="G66" t="str">
            <v>Union Dues L95</v>
          </cell>
          <cell r="H66" t="str">
            <v>UDL95</v>
          </cell>
          <cell r="I66" t="str">
            <v>Automatic Pay Components
EC and Ded for Faculty Leave
Pay Components to resolve for Off Cycle
Post Tax Deductions
Union Dues
Withholding Order (All): Mandatory Union Dues [USA]</v>
          </cell>
          <cell r="J66">
            <v>34.299999999999997</v>
          </cell>
        </row>
        <row r="67">
          <cell r="C67" t="str">
            <v>ladner</v>
          </cell>
          <cell r="D67" t="str">
            <v>Carnegie Mellon University</v>
          </cell>
          <cell r="E67" t="str">
            <v>Business Unit: 01 GENERAL
Cost Center: 530311 FMS - NEW EMPLOYEE DEV
Location: Pittsburgh</v>
          </cell>
          <cell r="F67" t="str">
            <v>03/23/2026 - 04/05/2026  (Biweekly)</v>
          </cell>
          <cell r="G67" t="str">
            <v>Union Dues L95</v>
          </cell>
          <cell r="H67" t="str">
            <v>UDL95</v>
          </cell>
          <cell r="I67" t="str">
            <v>Automatic Pay Components
EC and Ded for Faculty Leave
Pay Components to resolve for Off Cycle
Post Tax Deductions
Union Dues
Withholding Order (All): Mandatory Union Dues [USA]</v>
          </cell>
          <cell r="J67">
            <v>35.71</v>
          </cell>
        </row>
        <row r="68">
          <cell r="C68" t="str">
            <v>bl88</v>
          </cell>
          <cell r="D68" t="str">
            <v>Carnegie Mellon University</v>
          </cell>
          <cell r="E68" t="str">
            <v>Business Unit: 01 GENERAL
Cost Center: 530308 FMS OPERATIONS - CRAIG ST
Location: Pittsburgh</v>
          </cell>
          <cell r="F68" t="str">
            <v>03/23/2026 - 04/05/2026  (Biweekly)</v>
          </cell>
          <cell r="G68" t="str">
            <v>Union Dues L95</v>
          </cell>
          <cell r="H68" t="str">
            <v>UDL95</v>
          </cell>
          <cell r="I68" t="str">
            <v>Automatic Pay Components
EC and Ded for Faculty Leave
Pay Components to resolve for Off Cycle
Post Tax Deductions
Union Dues
Withholding Order (All): Mandatory Union Dues [USA]</v>
          </cell>
          <cell r="J68">
            <v>55.49</v>
          </cell>
        </row>
        <row r="69">
          <cell r="C69" t="str">
            <v>glb1</v>
          </cell>
          <cell r="D69" t="str">
            <v>Carnegie Mellon University</v>
          </cell>
          <cell r="E69" t="str">
            <v>Business Unit: 01 GENERAL
Cost Center: 530319 FMS OPERATIONS - EAST ZONE
Location: Pittsburgh</v>
          </cell>
          <cell r="F69" t="str">
            <v>03/23/2026 - 04/05/2026  (Biweekly)</v>
          </cell>
          <cell r="G69" t="str">
            <v>Union Dues L95</v>
          </cell>
          <cell r="H69" t="str">
            <v>UDL95</v>
          </cell>
          <cell r="I69" t="str">
            <v>Automatic Pay Components
EC and Ded for Faculty Leave
Pay Components to resolve for Off Cycle
Post Tax Deductions
Union Dues
Withholding Order (All): Mandatory Union Dues [USA]</v>
          </cell>
          <cell r="J69">
            <v>55.49</v>
          </cell>
        </row>
        <row r="70">
          <cell r="C70" t="str">
            <v>ml78</v>
          </cell>
          <cell r="D70" t="str">
            <v>Carnegie Mellon University</v>
          </cell>
          <cell r="E70" t="str">
            <v>Business Unit: 01 GENERAL
Cost Center: 530304 FMS OPERATIONS - GARDENERS
Location: Pittsburgh</v>
          </cell>
          <cell r="F70" t="str">
            <v>03/23/2026 - 04/05/2026  (Biweekly)</v>
          </cell>
          <cell r="G70" t="str">
            <v>Union Dues L95</v>
          </cell>
          <cell r="H70" t="str">
            <v>UDL95</v>
          </cell>
          <cell r="I70" t="str">
            <v>Automatic Pay Components
EC and Ded for Faculty Leave
Pay Components to resolve for Off Cycle
Post Tax Deductions
Union Dues
Withholding Order (All): Mandatory Union Dues [USA]</v>
          </cell>
          <cell r="J70">
            <v>50.44</v>
          </cell>
        </row>
        <row r="71">
          <cell r="C71" t="str">
            <v>jl85</v>
          </cell>
          <cell r="D71" t="str">
            <v>Carnegie Mellon University</v>
          </cell>
          <cell r="E71" t="str">
            <v>Business Unit: 01 GENERAL
Cost Center: 530302 FMS OPERATIONS - STRUCTURAL SHOP
Location: Pittsburgh</v>
          </cell>
          <cell r="F71" t="str">
            <v>03/23/2026 - 04/05/2026  (Biweekly)</v>
          </cell>
          <cell r="G71" t="str">
            <v>Union Dues L95</v>
          </cell>
          <cell r="H71" t="str">
            <v>UDL95</v>
          </cell>
          <cell r="I71" t="str">
            <v>Automatic Pay Components
EC and Ded for Faculty Leave
Pay Components to resolve for Off Cycle
Post Tax Deductions
Union Dues
Withholding Order (All): Mandatory Union Dues [USA]</v>
          </cell>
          <cell r="J71">
            <v>0</v>
          </cell>
        </row>
        <row r="72">
          <cell r="C72" t="str">
            <v>jl85</v>
          </cell>
          <cell r="D72" t="str">
            <v>Carnegie Mellon University</v>
          </cell>
          <cell r="E72" t="str">
            <v>Business Unit: 01 GENERAL
Cost Center: 530302 FMS OPERATIONS - STRUCTURAL SHOP
Location: Pittsburgh</v>
          </cell>
          <cell r="F72" t="str">
            <v>03/23/2026 - 04/05/2026  (Biweekly)</v>
          </cell>
          <cell r="G72" t="str">
            <v>Union Dues L95</v>
          </cell>
          <cell r="H72" t="str">
            <v>UDL95</v>
          </cell>
          <cell r="I72" t="str">
            <v>Automatic Pay Components
EC and Ded for Faculty Leave
Pay Components to resolve for Off Cycle
Post Tax Deductions
Union Dues
Withholding Order (All): Mandatory Union Dues [USA]</v>
          </cell>
          <cell r="J72">
            <v>0</v>
          </cell>
        </row>
        <row r="73">
          <cell r="C73" t="str">
            <v>jl85</v>
          </cell>
          <cell r="D73" t="str">
            <v>Carnegie Mellon University</v>
          </cell>
          <cell r="E73" t="str">
            <v>Business Unit: 01 GENERAL
Cost Center: 530302 FMS OPERATIONS - STRUCTURAL SHOP
Location: Pittsburgh</v>
          </cell>
          <cell r="F73" t="str">
            <v>03/23/2026 - 04/05/2026  (Biweekly)</v>
          </cell>
          <cell r="G73" t="str">
            <v>Union Dues L95</v>
          </cell>
          <cell r="H73" t="str">
            <v>UDL95</v>
          </cell>
          <cell r="I73" t="str">
            <v>Automatic Pay Components
EC and Ded for Faculty Leave
Pay Components to resolve for Off Cycle
Post Tax Deductions
Union Dues
Withholding Order (All): Mandatory Union Dues [USA]</v>
          </cell>
          <cell r="J73">
            <v>0</v>
          </cell>
        </row>
        <row r="74">
          <cell r="C74" t="str">
            <v>jl85</v>
          </cell>
          <cell r="D74" t="str">
            <v>Carnegie Mellon University</v>
          </cell>
          <cell r="E74" t="str">
            <v>Business Unit: 01 GENERAL
Cost Center: 530302 FMS OPERATIONS - STRUCTURAL SHOP
Location: Pittsburgh</v>
          </cell>
          <cell r="F74" t="str">
            <v>03/23/2026 - 04/05/2026  (Biweekly)</v>
          </cell>
          <cell r="G74" t="str">
            <v>Union Dues L95</v>
          </cell>
          <cell r="H74" t="str">
            <v>UDL95</v>
          </cell>
          <cell r="I74" t="str">
            <v>Automatic Pay Components
EC and Ded for Faculty Leave
Pay Components to resolve for Off Cycle
Post Tax Deductions
Union Dues
Withholding Order (All): Mandatory Union Dues [USA]</v>
          </cell>
          <cell r="J74">
            <v>0</v>
          </cell>
        </row>
        <row r="75">
          <cell r="C75" t="str">
            <v>jl85</v>
          </cell>
          <cell r="D75" t="str">
            <v>Carnegie Mellon University</v>
          </cell>
          <cell r="E75" t="str">
            <v>Business Unit: 01 GENERAL
Cost Center: 530302 FMS OPERATIONS - STRUCTURAL SHOP
Location: Pittsburgh</v>
          </cell>
          <cell r="F75" t="str">
            <v>03/23/2026 - 04/05/2026  (Biweekly)</v>
          </cell>
          <cell r="G75" t="str">
            <v>Union Dues L95</v>
          </cell>
          <cell r="H75" t="str">
            <v>UDL95</v>
          </cell>
          <cell r="I75" t="str">
            <v>Automatic Pay Components
EC and Ded for Faculty Leave
Pay Components to resolve for Off Cycle
Post Tax Deductions
Union Dues
Withholding Order (All): Mandatory Union Dues [USA]</v>
          </cell>
          <cell r="J75">
            <v>0</v>
          </cell>
        </row>
        <row r="76">
          <cell r="C76" t="str">
            <v>ml01</v>
          </cell>
          <cell r="D76" t="str">
            <v>Carnegie Mellon University</v>
          </cell>
          <cell r="E76" t="str">
            <v>Business Unit: 01 GENERAL
Cost Center: 530319 FMS OPERATIONS - EAST ZONE
Location: Pittsburgh</v>
          </cell>
          <cell r="F76" t="str">
            <v>03/23/2026 - 04/05/2026  (Biweekly)</v>
          </cell>
          <cell r="G76" t="str">
            <v>Union Dues L95</v>
          </cell>
          <cell r="H76" t="str">
            <v>UDL95</v>
          </cell>
          <cell r="I76" t="str">
            <v>Automatic Pay Components
EC and Ded for Faculty Leave
Pay Components to resolve for Off Cycle
Post Tax Deductions
Union Dues
Withholding Order (All): Mandatory Union Dues [USA]</v>
          </cell>
          <cell r="J76">
            <v>50.44</v>
          </cell>
        </row>
        <row r="77">
          <cell r="C77" t="str">
            <v>jonasm</v>
          </cell>
          <cell r="D77" t="str">
            <v>Carnegie Mellon University</v>
          </cell>
          <cell r="E77" t="str">
            <v>Business Unit: 01 GENERAL
Cost Center: 530317 FMS OPERATIONS - WEST CAMPUS
Location: Pittsburgh</v>
          </cell>
          <cell r="F77" t="str">
            <v>03/23/2026 - 04/05/2026  (Biweekly)</v>
          </cell>
          <cell r="G77" t="str">
            <v>Union Dues L95</v>
          </cell>
          <cell r="H77" t="str">
            <v>UDL95</v>
          </cell>
          <cell r="I77" t="str">
            <v>Automatic Pay Components
EC and Ded for Faculty Leave
Pay Components to resolve for Off Cycle
Post Tax Deductions
Union Dues
Withholding Order (All): Mandatory Union Dues [USA]</v>
          </cell>
          <cell r="J77">
            <v>34.299999999999997</v>
          </cell>
        </row>
        <row r="78">
          <cell r="C78" t="str">
            <v>bmahan</v>
          </cell>
          <cell r="D78" t="str">
            <v>Carnegie Mellon University</v>
          </cell>
          <cell r="E78" t="str">
            <v>Business Unit: 01 GENERAL
Cost Center: 530305 FMS OPERATIONS - HOUSING MAINTENANCE
Location: Pittsburgh</v>
          </cell>
          <cell r="F78" t="str">
            <v>03/23/2026 - 04/05/2026  (Biweekly)</v>
          </cell>
          <cell r="G78" t="str">
            <v>Union Dues L95</v>
          </cell>
          <cell r="H78" t="str">
            <v>UDL95</v>
          </cell>
          <cell r="I78" t="str">
            <v>Automatic Pay Components
EC and Ded for Faculty Leave
Pay Components to resolve for Off Cycle
Post Tax Deductions
Union Dues
Withholding Order (All): Mandatory Union Dues [USA]</v>
          </cell>
          <cell r="J78">
            <v>47.39</v>
          </cell>
        </row>
        <row r="79">
          <cell r="C79" t="str">
            <v>jama</v>
          </cell>
          <cell r="D79" t="str">
            <v>Carnegie Mellon University</v>
          </cell>
          <cell r="E79" t="str">
            <v>Business Unit: 01 GENERAL
Cost Center: 530317 FMS OPERATIONS - WEST CAMPUS
Location: Pittsburgh</v>
          </cell>
          <cell r="F79" t="str">
            <v>03/23/2026 - 04/05/2026  (Biweekly)</v>
          </cell>
          <cell r="G79" t="str">
            <v>Union Dues L95</v>
          </cell>
          <cell r="H79" t="str">
            <v>UDL95</v>
          </cell>
          <cell r="I79" t="str">
            <v>Automatic Pay Components
EC and Ded for Faculty Leave
Pay Components to resolve for Off Cycle
Post Tax Deductions
Union Dues
Withholding Order (All): Mandatory Union Dues [USA]</v>
          </cell>
          <cell r="J79">
            <v>52.36</v>
          </cell>
        </row>
        <row r="80">
          <cell r="C80" t="str">
            <v>em98</v>
          </cell>
          <cell r="D80" t="str">
            <v>Carnegie Mellon University</v>
          </cell>
          <cell r="E80" t="str">
            <v>Business Unit: 01 GENERAL
Cost Center: 530303 FMS OPERATIONS - SECOND SHIFT
Location: Pittsburgh</v>
          </cell>
          <cell r="F80" t="str">
            <v>03/23/2026 - 04/05/2026  (Biweekly)</v>
          </cell>
          <cell r="G80" t="str">
            <v>Union Dues L95</v>
          </cell>
          <cell r="H80" t="str">
            <v>UDL95</v>
          </cell>
          <cell r="I80" t="str">
            <v>Automatic Pay Components
EC and Ded for Faculty Leave
Pay Components to resolve for Off Cycle
Post Tax Deductions
Union Dues
Withholding Order (All): Mandatory Union Dues [USA]</v>
          </cell>
          <cell r="J80">
            <v>52.36</v>
          </cell>
        </row>
        <row r="81">
          <cell r="C81" t="str">
            <v>cmaslank</v>
          </cell>
          <cell r="D81" t="str">
            <v>Carnegie Mellon University</v>
          </cell>
          <cell r="E81" t="str">
            <v>Business Unit: 01 GENERAL
Cost Center: 530311 FMS - NEW EMPLOYEE DEV
Location: Pittsburgh</v>
          </cell>
          <cell r="F81" t="str">
            <v>03/23/2026 - 04/05/2026  (Biweekly)</v>
          </cell>
          <cell r="G81" t="str">
            <v>Union Dues L95</v>
          </cell>
          <cell r="H81" t="str">
            <v>UDL95</v>
          </cell>
          <cell r="I81" t="str">
            <v>Automatic Pay Components
EC and Ded for Faculty Leave
Pay Components to resolve for Off Cycle
Post Tax Deductions
Union Dues
Withholding Order (All): Mandatory Union Dues [USA]</v>
          </cell>
          <cell r="J81">
            <v>34.299999999999997</v>
          </cell>
        </row>
        <row r="82">
          <cell r="C82" t="str">
            <v>cmassimi</v>
          </cell>
          <cell r="D82" t="str">
            <v>Carnegie Mellon University</v>
          </cell>
          <cell r="E82" t="str">
            <v>Business Unit: 01 GENERAL
Cost Center: 530304 FMS OPERATIONS - GARDENERS
Location: Pittsburgh</v>
          </cell>
          <cell r="F82" t="str">
            <v>03/23/2026 - 04/05/2026  (Biweekly)</v>
          </cell>
          <cell r="G82" t="str">
            <v>Union Dues L95</v>
          </cell>
          <cell r="H82" t="str">
            <v>UDL95</v>
          </cell>
          <cell r="I82" t="str">
            <v>Automatic Pay Components
EC and Ded for Faculty Leave
Pay Components to resolve for Off Cycle
Post Tax Deductions
Union Dues
Withholding Order (All): Mandatory Union Dues [USA]</v>
          </cell>
          <cell r="J82">
            <v>42.25</v>
          </cell>
        </row>
        <row r="83">
          <cell r="C83" t="str">
            <v>imatejci</v>
          </cell>
          <cell r="D83" t="str">
            <v>Carnegie Mellon University</v>
          </cell>
          <cell r="E83" t="str">
            <v>Business Unit: 01 GENERAL
Cost Center: 530317 FMS OPERATIONS - WEST CAMPUS
Location: Pittsburgh</v>
          </cell>
          <cell r="F83" t="str">
            <v>03/23/2026 - 04/05/2026  (Biweekly)</v>
          </cell>
          <cell r="G83" t="str">
            <v>Union Dues L95</v>
          </cell>
          <cell r="H83" t="str">
            <v>UDL95</v>
          </cell>
          <cell r="I83" t="str">
            <v>Automatic Pay Components
EC and Ded for Faculty Leave
Pay Components to resolve for Off Cycle
Post Tax Deductions
Union Dues
Withholding Order (All): Mandatory Union Dues [USA]</v>
          </cell>
          <cell r="J83">
            <v>47.39</v>
          </cell>
        </row>
        <row r="84">
          <cell r="C84" t="str">
            <v>shaunmcc</v>
          </cell>
          <cell r="D84" t="str">
            <v>Carnegie Mellon University</v>
          </cell>
          <cell r="E84" t="str">
            <v>Business Unit: 01 GENERAL
Cost Center: 530305 FMS OPERATIONS - HOUSING MAINTENANCE
Location: Pittsburgh</v>
          </cell>
          <cell r="F84" t="str">
            <v>03/23/2026 - 04/05/2026  (Biweekly)</v>
          </cell>
          <cell r="G84" t="str">
            <v>Union Dues L95</v>
          </cell>
          <cell r="H84" t="str">
            <v>UDL95</v>
          </cell>
          <cell r="I84" t="str">
            <v>Automatic Pay Components
EC and Ded for Faculty Leave
Pay Components to resolve for Off Cycle
Post Tax Deductions
Union Dues
Withholding Order (All): Mandatory Union Dues [USA]</v>
          </cell>
          <cell r="J84">
            <v>34.299999999999997</v>
          </cell>
        </row>
        <row r="85">
          <cell r="C85" t="str">
            <v>smcc</v>
          </cell>
          <cell r="D85" t="str">
            <v>Carnegie Mellon University</v>
          </cell>
          <cell r="E85" t="str">
            <v>Business Unit: 01 GENERAL
Cost Center: 530319 FMS OPERATIONS - EAST ZONE
Location: Pittsburgh</v>
          </cell>
          <cell r="F85" t="str">
            <v>03/23/2026 - 04/05/2026  (Biweekly)</v>
          </cell>
          <cell r="G85" t="str">
            <v>Union Dues L95</v>
          </cell>
          <cell r="H85" t="str">
            <v>UDL95</v>
          </cell>
          <cell r="I85" t="str">
            <v>Automatic Pay Components
EC and Ded for Faculty Leave
Pay Components to resolve for Off Cycle
Post Tax Deductions
Union Dues
Withholding Order (All): Mandatory Union Dues [USA]</v>
          </cell>
          <cell r="J85">
            <v>52.36</v>
          </cell>
        </row>
        <row r="86">
          <cell r="C86" t="str">
            <v>cmcp</v>
          </cell>
          <cell r="D86" t="str">
            <v>Carnegie Mellon University</v>
          </cell>
          <cell r="E86" t="str">
            <v>Business Unit: 01 GENERAL
Cost Center: 530304 FMS OPERATIONS - GARDENERS
Location: Pittsburgh</v>
          </cell>
          <cell r="F86" t="str">
            <v>03/23/2026 - 04/05/2026  (Biweekly)</v>
          </cell>
          <cell r="G86" t="str">
            <v>Union Dues L95</v>
          </cell>
          <cell r="H86" t="str">
            <v>UDL95</v>
          </cell>
          <cell r="I86" t="str">
            <v>Automatic Pay Components
EC and Ded for Faculty Leave
Pay Components to resolve for Off Cycle
Post Tax Deductions
Union Dues
Withholding Order (All): Mandatory Union Dues [USA]</v>
          </cell>
          <cell r="J86">
            <v>50.44</v>
          </cell>
        </row>
        <row r="87">
          <cell r="C87" t="str">
            <v>cjmeyers</v>
          </cell>
          <cell r="D87" t="str">
            <v>Carnegie Mellon University</v>
          </cell>
          <cell r="E87" t="str">
            <v>Business Unit: 01 GENERAL
Cost Center: 520110 CENTRAL RECEIVING
Location: Pittsburgh</v>
          </cell>
          <cell r="F87" t="str">
            <v>03/23/2026 - 04/05/2026  (Biweekly)</v>
          </cell>
          <cell r="G87" t="str">
            <v>Union Dues L95</v>
          </cell>
          <cell r="H87" t="str">
            <v>UDL95</v>
          </cell>
          <cell r="I87" t="str">
            <v>Automatic Pay Components
EC and Ded for Faculty Leave
Pay Components to resolve for Off Cycle
Post Tax Deductions
Union Dues
Withholding Order (All): Mandatory Union Dues [USA]</v>
          </cell>
          <cell r="J87">
            <v>36.43</v>
          </cell>
        </row>
        <row r="88">
          <cell r="C88" t="str">
            <v>fmichals</v>
          </cell>
          <cell r="D88" t="str">
            <v>Carnegie Mellon University</v>
          </cell>
          <cell r="E88" t="str">
            <v>Business Unit: 01 GENERAL
Cost Center: 530317 FMS OPERATIONS - WEST CAMPUS
Location: Pittsburgh</v>
          </cell>
          <cell r="F88" t="str">
            <v>03/23/2026 - 04/05/2026  (Biweekly)</v>
          </cell>
          <cell r="G88" t="str">
            <v>Union Dues L95</v>
          </cell>
          <cell r="H88" t="str">
            <v>UDL95</v>
          </cell>
          <cell r="I88" t="str">
            <v>Automatic Pay Components
EC and Ded for Faculty Leave
Pay Components to resolve for Off Cycle
Post Tax Deductions
Union Dues
Withholding Order (All): Mandatory Union Dues [USA]</v>
          </cell>
          <cell r="J88">
            <v>52.36</v>
          </cell>
        </row>
        <row r="89">
          <cell r="C89" t="str">
            <v>stevemoo</v>
          </cell>
          <cell r="D89" t="str">
            <v>Carnegie Mellon University</v>
          </cell>
          <cell r="E89" t="str">
            <v>Business Unit: 01 GENERAL
Cost Center: 530317 FMS OPERATIONS - WEST CAMPUS
Location: Pittsburgh</v>
          </cell>
          <cell r="F89" t="str">
            <v>03/23/2026 - 04/05/2026  (Biweekly)</v>
          </cell>
          <cell r="G89" t="str">
            <v>Union Dues L95</v>
          </cell>
          <cell r="H89" t="str">
            <v>UDL95</v>
          </cell>
          <cell r="I89" t="str">
            <v>Automatic Pay Components
EC and Ded for Faculty Leave
Pay Components to resolve for Off Cycle
Post Tax Deductions
Union Dues
Withholding Order (All): Mandatory Union Dues [USA]</v>
          </cell>
          <cell r="J89">
            <v>50.44</v>
          </cell>
        </row>
        <row r="90">
          <cell r="C90" t="str">
            <v>sc04</v>
          </cell>
          <cell r="D90" t="str">
            <v>Carnegie Mellon University</v>
          </cell>
          <cell r="E90" t="str">
            <v>Business Unit: 01 GENERAL
Cost Center: 530317 FMS OPERATIONS - WEST CAMPUS
Location: Pittsburgh</v>
          </cell>
          <cell r="F90" t="str">
            <v>03/23/2026 - 04/05/2026  (Biweekly)</v>
          </cell>
          <cell r="G90" t="str">
            <v>Union Dues L95</v>
          </cell>
          <cell r="H90" t="str">
            <v>UDL95</v>
          </cell>
          <cell r="I90" t="str">
            <v>Automatic Pay Components
EC and Ded for Faculty Leave
Pay Components to resolve for Off Cycle
Post Tax Deductions
Union Dues
Withholding Order (All): Mandatory Union Dues [USA]</v>
          </cell>
          <cell r="J90">
            <v>52.36</v>
          </cell>
        </row>
        <row r="91">
          <cell r="C91" t="str">
            <v>dmurphy</v>
          </cell>
          <cell r="D91" t="str">
            <v>Carnegie Mellon University</v>
          </cell>
          <cell r="E91" t="str">
            <v>Business Unit: 01 GENERAL
Cost Center: 530319 FMS OPERATIONS - EAST ZONE
Location: Pittsburgh</v>
          </cell>
          <cell r="F91" t="str">
            <v>03/23/2026 - 04/05/2026  (Biweekly)</v>
          </cell>
          <cell r="G91" t="str">
            <v>Union Dues L95</v>
          </cell>
          <cell r="H91" t="str">
            <v>UDL95</v>
          </cell>
          <cell r="I91" t="str">
            <v>Automatic Pay Components
EC and Ded for Faculty Leave
Pay Components to resolve for Off Cycle
Post Tax Deductions
Union Dues
Withholding Order (All): Mandatory Union Dues [USA]</v>
          </cell>
          <cell r="J91">
            <v>55.49</v>
          </cell>
        </row>
        <row r="92">
          <cell r="C92" t="str">
            <v>jamesmur</v>
          </cell>
          <cell r="D92" t="str">
            <v>Carnegie Mellon University</v>
          </cell>
          <cell r="E92" t="str">
            <v>Business Unit: 01 GENERAL
Cost Center: 530308 FMS OPERATIONS - CRAIG ST
Location: Pittsburgh</v>
          </cell>
          <cell r="F92" t="str">
            <v>03/23/2026 - 04/05/2026  (Biweekly)</v>
          </cell>
          <cell r="G92" t="str">
            <v>Union Dues L95</v>
          </cell>
          <cell r="H92" t="str">
            <v>UDL95</v>
          </cell>
          <cell r="I92" t="str">
            <v>Automatic Pay Components
EC and Ded for Faculty Leave
Pay Components to resolve for Off Cycle
Post Tax Deductions
Union Dues
Withholding Order (All): Mandatory Union Dues [USA]</v>
          </cell>
          <cell r="J92">
            <v>47.39</v>
          </cell>
        </row>
        <row r="93">
          <cell r="C93" t="str">
            <v>mnagy</v>
          </cell>
          <cell r="D93" t="str">
            <v>Carnegie Mellon University</v>
          </cell>
          <cell r="E93" t="str">
            <v>Business Unit: 01 GENERAL
Cost Center: 530319 FMS OPERATIONS - EAST ZONE
Location: Pittsburgh</v>
          </cell>
          <cell r="F93" t="str">
            <v>03/23/2026 - 04/05/2026  (Biweekly)</v>
          </cell>
          <cell r="G93" t="str">
            <v>Union Dues L95</v>
          </cell>
          <cell r="H93" t="str">
            <v>UDL95</v>
          </cell>
          <cell r="I93" t="str">
            <v>Automatic Pay Components
EC and Ded for Faculty Leave
Pay Components to resolve for Off Cycle
Post Tax Deductions
Union Dues
Withholding Order (All): Mandatory Union Dues [USA]</v>
          </cell>
          <cell r="J93">
            <v>50.44</v>
          </cell>
        </row>
        <row r="94">
          <cell r="C94" t="str">
            <v>cnichols</v>
          </cell>
          <cell r="D94" t="str">
            <v>Carnegie Mellon University</v>
          </cell>
          <cell r="E94" t="str">
            <v>Business Unit: 01 GENERAL
Cost Center: 530304 FMS OPERATIONS - GARDENERS
Location: Pittsburgh</v>
          </cell>
          <cell r="F94" t="str">
            <v>03/23/2026 - 04/05/2026  (Biweekly)</v>
          </cell>
          <cell r="G94" t="str">
            <v>Union Dues L95</v>
          </cell>
          <cell r="H94" t="str">
            <v>UDL95</v>
          </cell>
          <cell r="I94" t="str">
            <v>Automatic Pay Components
EC and Ded for Faculty Leave
Pay Components to resolve for Off Cycle
Post Tax Deductions
Union Dues
Withholding Order (All): Mandatory Union Dues [USA]</v>
          </cell>
          <cell r="J94">
            <v>39.86</v>
          </cell>
        </row>
        <row r="95">
          <cell r="C95" t="str">
            <v>dnofi</v>
          </cell>
          <cell r="D95" t="str">
            <v>Carnegie Mellon University</v>
          </cell>
          <cell r="E95" t="str">
            <v>Business Unit: 01 GENERAL
Cost Center: 530319 FMS OPERATIONS - EAST ZONE
Location: Pittsburgh</v>
          </cell>
          <cell r="F95" t="str">
            <v>03/23/2026 - 04/05/2026  (Biweekly)</v>
          </cell>
          <cell r="G95" t="str">
            <v>Union Dues L95</v>
          </cell>
          <cell r="H95" t="str">
            <v>UDL95</v>
          </cell>
          <cell r="I95" t="str">
            <v>Automatic Pay Components
EC and Ded for Faculty Leave
Pay Components to resolve for Off Cycle
Post Tax Deductions
Union Dues
Withholding Order (All): Mandatory Union Dues [USA]</v>
          </cell>
          <cell r="J95">
            <v>34.299999999999997</v>
          </cell>
        </row>
        <row r="96">
          <cell r="C96" t="str">
            <v>tgo</v>
          </cell>
          <cell r="D96" t="str">
            <v>Carnegie Mellon University</v>
          </cell>
          <cell r="E96" t="str">
            <v>Business Unit: 01 GENERAL
Cost Center: 530304 FMS OPERATIONS - GARDENERS
Location: Pittsburgh</v>
          </cell>
          <cell r="F96" t="str">
            <v>03/23/2026 - 04/05/2026  (Biweekly)</v>
          </cell>
          <cell r="G96" t="str">
            <v>Union Dues L95</v>
          </cell>
          <cell r="H96" t="str">
            <v>UDL95</v>
          </cell>
          <cell r="I96" t="str">
            <v>Automatic Pay Components
EC and Ded for Faculty Leave
Pay Components to resolve for Off Cycle
Post Tax Deductions
Union Dues
Withholding Order (All): Mandatory Union Dues [USA]</v>
          </cell>
          <cell r="J96">
            <v>45.44</v>
          </cell>
        </row>
        <row r="97">
          <cell r="C97" t="str">
            <v>mo31</v>
          </cell>
          <cell r="D97" t="str">
            <v>Carnegie Mellon University</v>
          </cell>
          <cell r="E97" t="str">
            <v>Business Unit: 01 GENERAL
Cost Center: 530302 FMS OPERATIONS - STRUCTURAL SHOP
Location: Pittsburgh</v>
          </cell>
          <cell r="F97" t="str">
            <v>03/23/2026 - 04/05/2026  (Biweekly)</v>
          </cell>
          <cell r="G97" t="str">
            <v>Union Dues L95</v>
          </cell>
          <cell r="H97" t="str">
            <v>UDL95</v>
          </cell>
          <cell r="I97" t="str">
            <v>Automatic Pay Components
EC and Ded for Faculty Leave
Pay Components to resolve for Off Cycle
Post Tax Deductions
Union Dues
Withholding Order (All): Mandatory Union Dues [USA]</v>
          </cell>
          <cell r="J97">
            <v>50.21</v>
          </cell>
        </row>
        <row r="98">
          <cell r="C98" t="str">
            <v>devonpal</v>
          </cell>
          <cell r="D98" t="str">
            <v>Carnegie Mellon University</v>
          </cell>
          <cell r="E98" t="str">
            <v>Business Unit: 01 GENERAL
Cost Center: 530302 FMS OPERATIONS - STRUCTURAL SHOP
Location: Pittsburgh</v>
          </cell>
          <cell r="F98" t="str">
            <v>03/23/2026 - 04/05/2026  (Biweekly)</v>
          </cell>
          <cell r="G98" t="str">
            <v>Union Dues L95</v>
          </cell>
          <cell r="H98" t="str">
            <v>UDL95</v>
          </cell>
          <cell r="I98" t="str">
            <v>Automatic Pay Components
EC and Ded for Faculty Leave
Pay Components to resolve for Off Cycle
Post Tax Deductions
Union Dues
Withholding Order (All): Mandatory Union Dues [USA]</v>
          </cell>
          <cell r="J98">
            <v>34.299999999999997</v>
          </cell>
        </row>
        <row r="99">
          <cell r="C99" t="str">
            <v>mp11</v>
          </cell>
          <cell r="D99" t="str">
            <v>Carnegie Mellon University</v>
          </cell>
          <cell r="E99" t="str">
            <v>Business Unit: 01 GENERAL
Cost Center: 530308 FMS OPERATIONS - CRAIG ST
Location: Pittsburgh</v>
          </cell>
          <cell r="F99" t="str">
            <v>03/23/2026 - 04/05/2026  (Biweekly)</v>
          </cell>
          <cell r="G99" t="str">
            <v>Union Dues L95</v>
          </cell>
          <cell r="H99" t="str">
            <v>UDL95</v>
          </cell>
          <cell r="I99" t="str">
            <v>Automatic Pay Components
EC and Ded for Faculty Leave
Pay Components to resolve for Off Cycle
Post Tax Deductions
Union Dues
Withholding Order (All): Mandatory Union Dues [USA]</v>
          </cell>
          <cell r="J99">
            <v>50.44</v>
          </cell>
        </row>
        <row r="100">
          <cell r="C100" t="str">
            <v>jpiacqua</v>
          </cell>
          <cell r="D100" t="str">
            <v>Carnegie Mellon University</v>
          </cell>
          <cell r="E100" t="str">
            <v>Business Unit: 01 GENERAL
Cost Center: 530305 FMS OPERATIONS - HOUSING MAINTENANCE
Location: Pittsburgh</v>
          </cell>
          <cell r="F100" t="str">
            <v>03/23/2026 - 04/05/2026  (Biweekly)</v>
          </cell>
          <cell r="G100" t="str">
            <v>Union Dues L95</v>
          </cell>
          <cell r="H100" t="str">
            <v>UDL95</v>
          </cell>
          <cell r="I100" t="str">
            <v>Automatic Pay Components
EC and Ded for Faculty Leave
Pay Components to resolve for Off Cycle
Post Tax Deductions
Union Dues
Withholding Order (All): Mandatory Union Dues [USA]</v>
          </cell>
          <cell r="J100">
            <v>50.44</v>
          </cell>
        </row>
        <row r="101">
          <cell r="C101" t="str">
            <v>vpielin</v>
          </cell>
          <cell r="D101" t="str">
            <v>Carnegie Mellon University</v>
          </cell>
          <cell r="E101" t="str">
            <v>Business Unit: 01 GENERAL
Cost Center: 530303 FMS OPERATIONS - SECOND SHIFT
Location: Pittsburgh</v>
          </cell>
          <cell r="F101" t="str">
            <v>03/23/2026 - 04/05/2026  (Biweekly)</v>
          </cell>
          <cell r="G101" t="str">
            <v>Union Dues L95</v>
          </cell>
          <cell r="H101" t="str">
            <v>UDL95</v>
          </cell>
          <cell r="I101" t="str">
            <v>Automatic Pay Components
EC and Ded for Faculty Leave
Pay Components to resolve for Off Cycle
Post Tax Deductions
Union Dues
Withholding Order (All): Mandatory Union Dues [USA]</v>
          </cell>
          <cell r="J101">
            <v>34.299999999999997</v>
          </cell>
        </row>
        <row r="102">
          <cell r="C102" t="str">
            <v>apifer</v>
          </cell>
          <cell r="D102" t="str">
            <v>Carnegie Mellon University</v>
          </cell>
          <cell r="E102" t="str">
            <v>Business Unit: 01 GENERAL
Cost Center: 530308 FMS OPERATIONS - CRAIG ST
Location: Pittsburgh</v>
          </cell>
          <cell r="F102" t="str">
            <v>03/23/2026 - 04/05/2026  (Biweekly)</v>
          </cell>
          <cell r="G102" t="str">
            <v>Union Dues L95</v>
          </cell>
          <cell r="H102" t="str">
            <v>UDL95</v>
          </cell>
          <cell r="I102" t="str">
            <v>Automatic Pay Components
EC and Ded for Faculty Leave
Pay Components to resolve for Off Cycle
Post Tax Deductions
Union Dues
Withholding Order (All): Mandatory Union Dues [USA]</v>
          </cell>
          <cell r="J102">
            <v>52.36</v>
          </cell>
        </row>
        <row r="103">
          <cell r="C103" t="str">
            <v>dpikula</v>
          </cell>
          <cell r="D103" t="str">
            <v>Carnegie Mellon University</v>
          </cell>
          <cell r="E103" t="str">
            <v>Business Unit: 01 GENERAL
Cost Center: 530302 FMS OPERATIONS - STRUCTURAL SHOP
Location: Pittsburgh</v>
          </cell>
          <cell r="F103" t="str">
            <v>03/23/2026 - 04/05/2026  (Biweekly)</v>
          </cell>
          <cell r="G103" t="str">
            <v>Union Dues L95</v>
          </cell>
          <cell r="H103" t="str">
            <v>UDL95</v>
          </cell>
          <cell r="I103" t="str">
            <v>Automatic Pay Components
EC and Ded for Faculty Leave
Pay Components to resolve for Off Cycle
Post Tax Deductions
Union Dues
Withholding Order (All): Mandatory Union Dues [USA]</v>
          </cell>
          <cell r="J103">
            <v>48.36</v>
          </cell>
        </row>
        <row r="104">
          <cell r="C104" t="str">
            <v>dennisp</v>
          </cell>
          <cell r="D104" t="str">
            <v>Carnegie Mellon University</v>
          </cell>
          <cell r="E104" t="str">
            <v>Business Unit: 01 GENERAL
Cost Center: 530304 FMS OPERATIONS - GARDENERS
Location: Pittsburgh</v>
          </cell>
          <cell r="F104" t="str">
            <v>03/23/2026 - 04/05/2026  (Biweekly)</v>
          </cell>
          <cell r="G104" t="str">
            <v>Union Dues L95</v>
          </cell>
          <cell r="H104" t="str">
            <v>UDL95</v>
          </cell>
          <cell r="I104" t="str">
            <v>Automatic Pay Components
EC and Ded for Faculty Leave
Pay Components to resolve for Off Cycle
Post Tax Deductions
Union Dues
Withholding Order (All): Mandatory Union Dues [USA]</v>
          </cell>
          <cell r="J104">
            <v>39.86</v>
          </cell>
        </row>
        <row r="105">
          <cell r="C105" t="str">
            <v>dr89</v>
          </cell>
          <cell r="D105" t="str">
            <v>Carnegie Mellon University</v>
          </cell>
          <cell r="E105" t="str">
            <v>Business Unit: 01 GENERAL
Cost Center: 530317 FMS OPERATIONS - WEST CAMPUS
Location: Pittsburgh</v>
          </cell>
          <cell r="F105" t="str">
            <v>03/23/2026 - 04/05/2026  (Biweekly)</v>
          </cell>
          <cell r="G105" t="str">
            <v>Union Dues L95</v>
          </cell>
          <cell r="H105" t="str">
            <v>UDL95</v>
          </cell>
          <cell r="I105" t="str">
            <v>Automatic Pay Components
EC and Ded for Faculty Leave
Pay Components to resolve for Off Cycle
Post Tax Deductions
Union Dues
Withholding Order (All): Mandatory Union Dues [USA]</v>
          </cell>
          <cell r="J105">
            <v>50.44</v>
          </cell>
        </row>
        <row r="106">
          <cell r="C106" t="str">
            <v>rdrr</v>
          </cell>
          <cell r="D106" t="str">
            <v>Carnegie Mellon University</v>
          </cell>
          <cell r="E106" t="str">
            <v>Business Unit: 01 GENERAL
Cost Center: 530302 FMS OPERATIONS - STRUCTURAL SHOP
Location: Pittsburgh</v>
          </cell>
          <cell r="F106" t="str">
            <v>03/23/2026 - 04/05/2026  (Biweekly)</v>
          </cell>
          <cell r="G106" t="str">
            <v>Union Dues L95</v>
          </cell>
          <cell r="H106" t="str">
            <v>UDL95</v>
          </cell>
          <cell r="I106" t="str">
            <v>Automatic Pay Components
EC and Ded for Faculty Leave
Pay Components to resolve for Off Cycle
Post Tax Deductions
Union Dues
Withholding Order (All): Mandatory Union Dues [USA]</v>
          </cell>
          <cell r="J106">
            <v>36.43</v>
          </cell>
        </row>
        <row r="107">
          <cell r="C107" t="str">
            <v>nrobbin2</v>
          </cell>
          <cell r="D107" t="str">
            <v>Carnegie Mellon University</v>
          </cell>
          <cell r="E107" t="str">
            <v>Business Unit: 01 GENERAL
Cost Center: 530309 FMS OPERATIONS - FORBES
Location: Pittsburgh</v>
          </cell>
          <cell r="F107" t="str">
            <v>03/23/2026 - 04/05/2026  (Biweekly)</v>
          </cell>
          <cell r="G107" t="str">
            <v>Union Dues L95</v>
          </cell>
          <cell r="H107" t="str">
            <v>UDL95</v>
          </cell>
          <cell r="I107" t="str">
            <v>Automatic Pay Components
EC and Ded for Faculty Leave
Pay Components to resolve for Off Cycle
Post Tax Deductions
Union Dues
Withholding Order (All): Mandatory Union Dues [USA]</v>
          </cell>
          <cell r="J107">
            <v>47.39</v>
          </cell>
        </row>
        <row r="108">
          <cell r="C108" t="str">
            <v>drobert1</v>
          </cell>
          <cell r="D108" t="str">
            <v>Carnegie Mellon University</v>
          </cell>
          <cell r="E108" t="str">
            <v>Business Unit: 01 GENERAL
Cost Center: 530319 FMS OPERATIONS - EAST ZONE
Location: Pittsburgh</v>
          </cell>
          <cell r="F108" t="str">
            <v>03/23/2026 - 04/05/2026  (Biweekly)</v>
          </cell>
          <cell r="G108" t="str">
            <v>Union Dues L95</v>
          </cell>
          <cell r="H108" t="str">
            <v>UDL95</v>
          </cell>
          <cell r="I108" t="str">
            <v>Automatic Pay Components
EC and Ded for Faculty Leave
Pay Components to resolve for Off Cycle
Post Tax Deductions
Union Dues
Withholding Order (All): Mandatory Union Dues [USA]</v>
          </cell>
          <cell r="J108">
            <v>34.299999999999997</v>
          </cell>
        </row>
        <row r="109">
          <cell r="C109" t="str">
            <v>mrock</v>
          </cell>
          <cell r="D109" t="str">
            <v>Carnegie Mellon University</v>
          </cell>
          <cell r="E109" t="str">
            <v>Business Unit: 01 GENERAL
Cost Center: 530319 FMS OPERATIONS - EAST ZONE
Location: Pittsburgh</v>
          </cell>
          <cell r="F109" t="str">
            <v>03/23/2026 - 04/05/2026  (Biweekly)</v>
          </cell>
          <cell r="G109" t="str">
            <v>Union Dues L95</v>
          </cell>
          <cell r="H109" t="str">
            <v>UDL95</v>
          </cell>
          <cell r="I109" t="str">
            <v>Automatic Pay Components
EC and Ded for Faculty Leave
Pay Components to resolve for Off Cycle
Post Tax Deductions
Union Dues
Withholding Order (All): Mandatory Union Dues [USA]</v>
          </cell>
          <cell r="J109">
            <v>0</v>
          </cell>
        </row>
        <row r="110">
          <cell r="C110" t="str">
            <v>bruffing</v>
          </cell>
          <cell r="D110" t="str">
            <v>Carnegie Mellon University</v>
          </cell>
          <cell r="E110" t="str">
            <v>Business Unit: 01 GENERAL
Cost Center: 530305 FMS OPERATIONS - HOUSING MAINTENANCE
Location: Pittsburgh</v>
          </cell>
          <cell r="F110" t="str">
            <v>03/23/2026 - 04/05/2026  (Biweekly)</v>
          </cell>
          <cell r="G110" t="str">
            <v>Union Dues L95</v>
          </cell>
          <cell r="H110" t="str">
            <v>UDL95</v>
          </cell>
          <cell r="I110" t="str">
            <v>Automatic Pay Components
EC and Ded for Faculty Leave
Pay Components to resolve for Off Cycle
Post Tax Deductions
Union Dues
Withholding Order (All): Mandatory Union Dues [USA]</v>
          </cell>
          <cell r="J110">
            <v>34.299999999999997</v>
          </cell>
        </row>
        <row r="111">
          <cell r="C111" t="str">
            <v>csrusso</v>
          </cell>
          <cell r="D111" t="str">
            <v>Carnegie Mellon University</v>
          </cell>
          <cell r="E111" t="str">
            <v>Business Unit: 01 GENERAL
Cost Center: 530311 FMS - NEW EMPLOYEE DEV
Location: Pittsburgh</v>
          </cell>
          <cell r="F111" t="str">
            <v>03/23/2026 - 04/05/2026  (Biweekly)</v>
          </cell>
          <cell r="G111" t="str">
            <v>Union Dues L95</v>
          </cell>
          <cell r="H111" t="str">
            <v>UDL95</v>
          </cell>
          <cell r="I111" t="str">
            <v>Automatic Pay Components
EC and Ded for Faculty Leave
Pay Components to resolve for Off Cycle
Post Tax Deductions
Union Dues
Withholding Order (All): Mandatory Union Dues [USA]</v>
          </cell>
          <cell r="J111">
            <v>42.69</v>
          </cell>
        </row>
        <row r="112">
          <cell r="C112" t="str">
            <v>rrutten</v>
          </cell>
          <cell r="D112" t="str">
            <v>Carnegie Mellon University</v>
          </cell>
          <cell r="E112" t="str">
            <v>Business Unit: 01 GENERAL
Cost Center: 530301 FMS OPERATIONS - MEP
Location: Pittsburgh</v>
          </cell>
          <cell r="F112" t="str">
            <v>03/23/2026 - 04/05/2026  (Biweekly)</v>
          </cell>
          <cell r="G112" t="str">
            <v>Union Dues L95</v>
          </cell>
          <cell r="H112" t="str">
            <v>UDL95</v>
          </cell>
          <cell r="I112" t="str">
            <v>Automatic Pay Components
EC and Ded for Faculty Leave
Pay Components to resolve for Off Cycle
Post Tax Deductions
Union Dues
Withholding Order (All): Mandatory Union Dues [USA]</v>
          </cell>
          <cell r="J112">
            <v>44.12</v>
          </cell>
        </row>
        <row r="113">
          <cell r="C113" t="str">
            <v>jacobsab</v>
          </cell>
          <cell r="D113" t="str">
            <v>Carnegie Mellon University</v>
          </cell>
          <cell r="E113" t="str">
            <v>Business Unit: 01 GENERAL
Cost Center: 530317 FMS OPERATIONS - WEST CAMPUS
Location: Pittsburgh</v>
          </cell>
          <cell r="F113" t="str">
            <v>03/23/2026 - 04/05/2026  (Biweekly)</v>
          </cell>
          <cell r="G113" t="str">
            <v>Union Dues L95</v>
          </cell>
          <cell r="H113" t="str">
            <v>UDL95</v>
          </cell>
          <cell r="I113" t="str">
            <v>Automatic Pay Components
EC and Ded for Faculty Leave
Pay Components to resolve for Off Cycle
Post Tax Deductions
Union Dues
Withholding Order (All): Mandatory Union Dues [USA]</v>
          </cell>
          <cell r="J113">
            <v>34.299999999999997</v>
          </cell>
        </row>
        <row r="114">
          <cell r="C114" t="str">
            <v>lsams</v>
          </cell>
          <cell r="D114" t="str">
            <v>Carnegie Mellon University</v>
          </cell>
          <cell r="E114" t="str">
            <v>Business Unit: 01 GENERAL
Cost Center: 530308 FMS OPERATIONS - CRAIG ST
Location: Pittsburgh</v>
          </cell>
          <cell r="F114" t="str">
            <v>03/23/2026 - 04/05/2026  (Biweekly)</v>
          </cell>
          <cell r="G114" t="str">
            <v>Union Dues L95</v>
          </cell>
          <cell r="H114" t="str">
            <v>UDL95</v>
          </cell>
          <cell r="I114" t="str">
            <v>Automatic Pay Components
EC and Ded for Faculty Leave
Pay Components to resolve for Off Cycle
Post Tax Deductions
Union Dues
Withholding Order (All): Mandatory Union Dues [USA]</v>
          </cell>
          <cell r="J114">
            <v>47.39</v>
          </cell>
        </row>
        <row r="115">
          <cell r="C115" t="str">
            <v>asantavi</v>
          </cell>
          <cell r="D115" t="str">
            <v>Carnegie Mellon University</v>
          </cell>
          <cell r="E115" t="str">
            <v>Business Unit: 01 GENERAL
Cost Center: 530309 FMS OPERATIONS - FORBES
Location: Pittsburgh</v>
          </cell>
          <cell r="F115" t="str">
            <v>03/23/2026 - 04/05/2026  (Biweekly)</v>
          </cell>
          <cell r="G115" t="str">
            <v>Union Dues L95</v>
          </cell>
          <cell r="H115" t="str">
            <v>UDL95</v>
          </cell>
          <cell r="I115" t="str">
            <v>Automatic Pay Components
EC and Ded for Faculty Leave
Pay Components to resolve for Off Cycle
Post Tax Deductions
Union Dues
Withholding Order (All): Mandatory Union Dues [USA]</v>
          </cell>
          <cell r="J115">
            <v>52.36</v>
          </cell>
        </row>
        <row r="116">
          <cell r="C116" t="str">
            <v>djs2</v>
          </cell>
          <cell r="D116" t="str">
            <v>Carnegie Mellon University</v>
          </cell>
          <cell r="E116" t="str">
            <v>Business Unit: 01 GENERAL
Cost Center: 530319 FMS OPERATIONS - EAST ZONE
Location: Pittsburgh</v>
          </cell>
          <cell r="F116" t="str">
            <v>03/23/2026 - 04/05/2026  (Biweekly)</v>
          </cell>
          <cell r="G116" t="str">
            <v>Union Dues L95</v>
          </cell>
          <cell r="H116" t="str">
            <v>UDL95</v>
          </cell>
          <cell r="I116" t="str">
            <v>Automatic Pay Components
EC and Ded for Faculty Leave
Pay Components to resolve for Off Cycle
Post Tax Deductions
Union Dues
Withholding Order (All): Mandatory Union Dues [USA]</v>
          </cell>
          <cell r="J116">
            <v>0</v>
          </cell>
        </row>
        <row r="117">
          <cell r="C117" t="str">
            <v>rschaffe</v>
          </cell>
          <cell r="D117" t="str">
            <v>Carnegie Mellon University</v>
          </cell>
          <cell r="E117" t="str">
            <v>Business Unit: 01 GENERAL
Cost Center: 530302 FMS OPERATIONS - STRUCTURAL SHOP
Location: Pittsburgh</v>
          </cell>
          <cell r="F117" t="str">
            <v>03/23/2026 - 04/05/2026  (Biweekly)</v>
          </cell>
          <cell r="G117" t="str">
            <v>Union Dues L95</v>
          </cell>
          <cell r="H117" t="str">
            <v>UDL95</v>
          </cell>
          <cell r="I117" t="str">
            <v>Automatic Pay Components
EC and Ded for Faculty Leave
Pay Components to resolve for Off Cycle
Post Tax Deductions
Union Dues
Withholding Order (All): Mandatory Union Dues [USA]</v>
          </cell>
          <cell r="J117">
            <v>48.36</v>
          </cell>
        </row>
        <row r="118">
          <cell r="C118" t="str">
            <v>katiesch</v>
          </cell>
          <cell r="D118" t="str">
            <v>Carnegie Mellon University</v>
          </cell>
          <cell r="E118" t="str">
            <v>Business Unit: 01 GENERAL
Cost Center: 530304 FMS OPERATIONS - GARDENERS
Location: Pittsburgh</v>
          </cell>
          <cell r="F118" t="str">
            <v>03/23/2026 - 04/05/2026  (Biweekly)</v>
          </cell>
          <cell r="G118" t="str">
            <v>Union Dues L95</v>
          </cell>
          <cell r="H118" t="str">
            <v>UDL95</v>
          </cell>
          <cell r="I118" t="str">
            <v>Automatic Pay Components
EC and Ded for Faculty Leave
Pay Components to resolve for Off Cycle
Post Tax Deductions
Union Dues
Withholding Order (All): Mandatory Union Dues [USA]</v>
          </cell>
          <cell r="J118">
            <v>39.86</v>
          </cell>
        </row>
        <row r="119">
          <cell r="C119" t="str">
            <v>wschwarz</v>
          </cell>
          <cell r="D119" t="str">
            <v>Carnegie Mellon University</v>
          </cell>
          <cell r="E119" t="str">
            <v>Business Unit: 01 GENERAL
Cost Center: 530311 FMS - NEW EMPLOYEE DEV
Location: Pittsburgh</v>
          </cell>
          <cell r="F119" t="str">
            <v>03/23/2026 - 04/05/2026  (Biweekly)</v>
          </cell>
          <cell r="G119" t="str">
            <v>Union Dues L95</v>
          </cell>
          <cell r="H119" t="str">
            <v>UDL95</v>
          </cell>
          <cell r="I119" t="str">
            <v>Automatic Pay Components
EC and Ded for Faculty Leave
Pay Components to resolve for Off Cycle
Post Tax Deductions
Union Dues
Withholding Order (All): Mandatory Union Dues [USA]</v>
          </cell>
          <cell r="J119">
            <v>42.69</v>
          </cell>
        </row>
        <row r="120">
          <cell r="C120" t="str">
            <v>jacobsco</v>
          </cell>
          <cell r="D120" t="str">
            <v>Carnegie Mellon University</v>
          </cell>
          <cell r="E120" t="str">
            <v>Business Unit: 01 GENERAL
Cost Center: 530305 FMS OPERATIONS - HOUSING MAINTENANCE
Location: Pittsburgh</v>
          </cell>
          <cell r="F120" t="str">
            <v>03/23/2026 - 04/05/2026  (Biweekly)</v>
          </cell>
          <cell r="G120" t="str">
            <v>Union Dues L95</v>
          </cell>
          <cell r="H120" t="str">
            <v>UDL95</v>
          </cell>
          <cell r="I120" t="str">
            <v>Automatic Pay Components
EC and Ded for Faculty Leave
Pay Components to resolve for Off Cycle
Post Tax Deductions
Union Dues
Withholding Order (All): Mandatory Union Dues [USA]</v>
          </cell>
          <cell r="J120">
            <v>50.44</v>
          </cell>
        </row>
        <row r="121">
          <cell r="C121" t="str">
            <v>tseskey</v>
          </cell>
          <cell r="D121" t="str">
            <v>Carnegie Mellon University</v>
          </cell>
          <cell r="E121" t="str">
            <v>Business Unit: 01 GENERAL
Cost Center: 530308 FMS OPERATIONS - CRAIG ST
Location: Pittsburgh</v>
          </cell>
          <cell r="F121" t="str">
            <v>03/23/2026 - 04/05/2026  (Biweekly)</v>
          </cell>
          <cell r="G121" t="str">
            <v>Union Dues L95</v>
          </cell>
          <cell r="H121" t="str">
            <v>UDL95</v>
          </cell>
          <cell r="I121" t="str">
            <v>Automatic Pay Components
EC and Ded for Faculty Leave
Pay Components to resolve for Off Cycle
Post Tax Deductions
Union Dues
Withholding Order (All): Mandatory Union Dues [USA]</v>
          </cell>
          <cell r="J121">
            <v>50.44</v>
          </cell>
        </row>
        <row r="122">
          <cell r="C122" t="str">
            <v>paulsimo</v>
          </cell>
          <cell r="D122" t="str">
            <v>Carnegie Mellon University</v>
          </cell>
          <cell r="E122" t="str">
            <v>Business Unit: 01 GENERAL
Cost Center: 530302 FMS OPERATIONS - STRUCTURAL SHOP
Location: Pittsburgh</v>
          </cell>
          <cell r="F122" t="str">
            <v>03/23/2026 - 04/05/2026  (Biweekly)</v>
          </cell>
          <cell r="G122" t="str">
            <v>Union Dues L95</v>
          </cell>
          <cell r="H122" t="str">
            <v>UDL95</v>
          </cell>
          <cell r="I122" t="str">
            <v>Automatic Pay Components
EC and Ded for Faculty Leave
Pay Components to resolve for Off Cycle
Post Tax Deductions
Union Dues
Withholding Order (All): Mandatory Union Dues [USA]</v>
          </cell>
          <cell r="J122">
            <v>48.36</v>
          </cell>
        </row>
        <row r="123">
          <cell r="C123" t="str">
            <v>wss</v>
          </cell>
          <cell r="D123" t="str">
            <v>Carnegie Mellon University</v>
          </cell>
          <cell r="E123" t="str">
            <v>Business Unit: 01 GENERAL
Cost Center: 530309 FMS OPERATIONS - FORBES
Location: Pittsburgh</v>
          </cell>
          <cell r="F123" t="str">
            <v>03/23/2026 - 04/05/2026  (Biweekly)</v>
          </cell>
          <cell r="G123" t="str">
            <v>Union Dues L95</v>
          </cell>
          <cell r="H123" t="str">
            <v>UDL95</v>
          </cell>
          <cell r="I123" t="str">
            <v>Automatic Pay Components
EC and Ded for Faculty Leave
Pay Components to resolve for Off Cycle
Post Tax Deductions
Union Dues
Withholding Order (All): Mandatory Union Dues [USA]</v>
          </cell>
          <cell r="J123">
            <v>52.36</v>
          </cell>
        </row>
        <row r="124">
          <cell r="C124" t="str">
            <v>jspochac</v>
          </cell>
          <cell r="D124" t="str">
            <v>Carnegie Mellon University</v>
          </cell>
          <cell r="E124" t="str">
            <v>Business Unit: 01 GENERAL
Cost Center: 530305 FMS OPERATIONS - HOUSING MAINTENANCE
Location: Pittsburgh</v>
          </cell>
          <cell r="F124" t="str">
            <v>03/23/2026 - 04/05/2026  (Biweekly)</v>
          </cell>
          <cell r="G124" t="str">
            <v>Union Dues L95</v>
          </cell>
          <cell r="H124" t="str">
            <v>UDL95</v>
          </cell>
          <cell r="I124" t="str">
            <v>Automatic Pay Components
EC and Ded for Faculty Leave
Pay Components to resolve for Off Cycle
Post Tax Deductions
Union Dues
Withholding Order (All): Mandatory Union Dues [USA]</v>
          </cell>
          <cell r="J124">
            <v>52.36</v>
          </cell>
        </row>
        <row r="125">
          <cell r="C125" t="str">
            <v>collinst</v>
          </cell>
          <cell r="D125" t="str">
            <v>Carnegie Mellon University</v>
          </cell>
          <cell r="E125" t="str">
            <v>Business Unit: 01 GENERAL
Cost Center: 530315 FMS OPERATIONS - STOREROOM/INVENTORY
Location: Pittsburgh</v>
          </cell>
          <cell r="F125" t="str">
            <v>03/23/2026 - 04/05/2026  (Biweekly)</v>
          </cell>
          <cell r="G125" t="str">
            <v>Union Dues L95</v>
          </cell>
          <cell r="H125" t="str">
            <v>UDL95</v>
          </cell>
          <cell r="I125" t="str">
            <v>Automatic Pay Components
EC and Ded for Faculty Leave
Pay Components to resolve for Off Cycle
Post Tax Deductions
Union Dues
Withholding Order (All): Mandatory Union Dues [USA]</v>
          </cell>
          <cell r="J125">
            <v>33.96</v>
          </cell>
        </row>
        <row r="126">
          <cell r="C126" t="str">
            <v>stanonik</v>
          </cell>
          <cell r="D126" t="str">
            <v>Carnegie Mellon University</v>
          </cell>
          <cell r="E126" t="str">
            <v>Business Unit: 01 GENERAL
Cost Center: 530304 FMS OPERATIONS - GARDENERS
Location: Pittsburgh</v>
          </cell>
          <cell r="F126" t="str">
            <v>03/23/2026 - 04/05/2026  (Biweekly)</v>
          </cell>
          <cell r="G126" t="str">
            <v>Union Dues L95</v>
          </cell>
          <cell r="H126" t="str">
            <v>UDL95</v>
          </cell>
          <cell r="I126" t="str">
            <v>Automatic Pay Components
EC and Ded for Faculty Leave
Pay Components to resolve for Off Cycle
Post Tax Deductions
Union Dues
Withholding Order (All): Mandatory Union Dues [USA]</v>
          </cell>
          <cell r="J126">
            <v>45.44</v>
          </cell>
        </row>
        <row r="127">
          <cell r="C127" t="str">
            <v>fsta</v>
          </cell>
          <cell r="D127" t="str">
            <v>Carnegie Mellon University</v>
          </cell>
          <cell r="E127" t="str">
            <v>Business Unit: 01 GENERAL
Cost Center: 530304 FMS OPERATIONS - GARDENERS
Location: Pittsburgh</v>
          </cell>
          <cell r="F127" t="str">
            <v>03/23/2026 - 04/05/2026  (Biweekly)</v>
          </cell>
          <cell r="G127" t="str">
            <v>Union Dues L95</v>
          </cell>
          <cell r="H127" t="str">
            <v>UDL95</v>
          </cell>
          <cell r="I127" t="str">
            <v>Automatic Pay Components
EC and Ded for Faculty Leave
Pay Components to resolve for Off Cycle
Post Tax Deductions
Union Dues
Withholding Order (All): Mandatory Union Dues [USA]</v>
          </cell>
          <cell r="J127">
            <v>39.86</v>
          </cell>
        </row>
        <row r="128">
          <cell r="C128" t="str">
            <v>hs1k</v>
          </cell>
          <cell r="D128" t="str">
            <v>Carnegie Mellon University</v>
          </cell>
          <cell r="E128" t="str">
            <v>Business Unit: 01 GENERAL
Cost Center: 530317 FMS OPERATIONS - WEST CAMPUS
Location: Pittsburgh</v>
          </cell>
          <cell r="F128" t="str">
            <v>03/23/2026 - 04/05/2026  (Biweekly)</v>
          </cell>
          <cell r="G128" t="str">
            <v>Union Dues L95</v>
          </cell>
          <cell r="H128" t="str">
            <v>UDL95</v>
          </cell>
          <cell r="I128" t="str">
            <v>Automatic Pay Components
EC and Ded for Faculty Leave
Pay Components to resolve for Off Cycle
Post Tax Deductions
Union Dues
Withholding Order (All): Mandatory Union Dues [USA]</v>
          </cell>
          <cell r="J128">
            <v>52.36</v>
          </cell>
        </row>
        <row r="129">
          <cell r="C129" t="str">
            <v>dstu</v>
          </cell>
          <cell r="D129" t="str">
            <v>Carnegie Mellon University</v>
          </cell>
          <cell r="E129" t="str">
            <v>Business Unit: 01 GENERAL
Cost Center: 530317 FMS OPERATIONS - WEST CAMPUS
Location: Pittsburgh</v>
          </cell>
          <cell r="F129" t="str">
            <v>03/23/2026 - 04/05/2026  (Biweekly)</v>
          </cell>
          <cell r="G129" t="str">
            <v>Union Dues L95</v>
          </cell>
          <cell r="H129" t="str">
            <v>UDL95</v>
          </cell>
          <cell r="I129" t="str">
            <v>Automatic Pay Components
EC and Ded for Faculty Leave
Pay Components to resolve for Off Cycle
Post Tax Deductions
Union Dues
Withholding Order (All): Mandatory Union Dues [USA]</v>
          </cell>
          <cell r="J129">
            <v>50.44</v>
          </cell>
        </row>
        <row r="130">
          <cell r="C130" t="str">
            <v>ms01</v>
          </cell>
          <cell r="D130" t="str">
            <v>Carnegie Mellon University</v>
          </cell>
          <cell r="E130" t="str">
            <v>Business Unit: 01 GENERAL
Cost Center: 530302 FMS OPERATIONS - STRUCTURAL SHOP
Location: Pittsburgh</v>
          </cell>
          <cell r="F130" t="str">
            <v>03/23/2026 - 04/05/2026  (Biweekly)</v>
          </cell>
          <cell r="G130" t="str">
            <v>Union Dues L95</v>
          </cell>
          <cell r="H130" t="str">
            <v>UDL95</v>
          </cell>
          <cell r="I130" t="str">
            <v>Automatic Pay Components
EC and Ded for Faculty Leave
Pay Components to resolve for Off Cycle
Post Tax Deductions
Union Dues
Withholding Order (All): Mandatory Union Dues [USA]</v>
          </cell>
          <cell r="J130">
            <v>0</v>
          </cell>
        </row>
        <row r="131">
          <cell r="C131" t="str">
            <v>bswiech</v>
          </cell>
          <cell r="D131" t="str">
            <v>Carnegie Mellon University</v>
          </cell>
          <cell r="E131" t="str">
            <v>Business Unit: 01 GENERAL
Cost Center: 530301 FMS OPERATIONS - MEP
Location: Pittsburgh</v>
          </cell>
          <cell r="F131" t="str">
            <v>03/23/2026 - 04/05/2026  (Biweekly)</v>
          </cell>
          <cell r="G131" t="str">
            <v>Union Dues L95</v>
          </cell>
          <cell r="H131" t="str">
            <v>UDL95</v>
          </cell>
          <cell r="I131" t="str">
            <v>Automatic Pay Components
EC and Ded for Faculty Leave
Pay Components to resolve for Off Cycle
Post Tax Deductions
Union Dues
Withholding Order (All): Mandatory Union Dues [USA]</v>
          </cell>
          <cell r="J131">
            <v>41.32</v>
          </cell>
        </row>
        <row r="132">
          <cell r="C132" t="str">
            <v>vtesta</v>
          </cell>
          <cell r="D132" t="str">
            <v>Carnegie Mellon University</v>
          </cell>
          <cell r="E132" t="str">
            <v>Business Unit: 01 GENERAL
Cost Center: 530304 FMS OPERATIONS - GARDENERS
Location: Pittsburgh</v>
          </cell>
          <cell r="F132" t="str">
            <v>03/23/2026 - 04/05/2026  (Biweekly)</v>
          </cell>
          <cell r="G132" t="str">
            <v>Union Dues L95</v>
          </cell>
          <cell r="H132" t="str">
            <v>UDL95</v>
          </cell>
          <cell r="I132" t="str">
            <v>Automatic Pay Components
EC and Ded for Faculty Leave
Pay Components to resolve for Off Cycle
Post Tax Deductions
Union Dues
Withholding Order (All): Mandatory Union Dues [USA]</v>
          </cell>
          <cell r="J132">
            <v>42.25</v>
          </cell>
        </row>
        <row r="133">
          <cell r="C133" t="str">
            <v>btomlins</v>
          </cell>
          <cell r="D133" t="str">
            <v>Carnegie Mellon University</v>
          </cell>
          <cell r="E133" t="str">
            <v>Business Unit: 01 GENERAL
Cost Center: 530308 FMS OPERATIONS - CRAIG ST
Location: Pittsburgh</v>
          </cell>
          <cell r="F133" t="str">
            <v>03/23/2026 - 04/05/2026  (Biweekly)</v>
          </cell>
          <cell r="G133" t="str">
            <v>Union Dues L95</v>
          </cell>
          <cell r="H133" t="str">
            <v>UDL95</v>
          </cell>
          <cell r="I133" t="str">
            <v>Automatic Pay Components
EC and Ded for Faculty Leave
Pay Components to resolve for Off Cycle
Post Tax Deductions
Union Dues
Withholding Order (All): Mandatory Union Dues [USA]</v>
          </cell>
          <cell r="J133">
            <v>52.36</v>
          </cell>
        </row>
        <row r="134">
          <cell r="C134" t="str">
            <v>mtoniolo</v>
          </cell>
          <cell r="D134" t="str">
            <v>Carnegie Mellon University</v>
          </cell>
          <cell r="E134" t="str">
            <v>Business Unit: 01 GENERAL
Cost Center: 530304 FMS OPERATIONS - GARDENERS
Location: Pittsburgh</v>
          </cell>
          <cell r="F134" t="str">
            <v>03/23/2026 - 04/05/2026  (Biweekly)</v>
          </cell>
          <cell r="G134" t="str">
            <v>Union Dues L95</v>
          </cell>
          <cell r="H134" t="str">
            <v>UDL95</v>
          </cell>
          <cell r="I134" t="str">
            <v>Automatic Pay Components
EC and Ded for Faculty Leave
Pay Components to resolve for Off Cycle
Post Tax Deductions
Union Dues
Withholding Order (All): Mandatory Union Dues [USA]</v>
          </cell>
          <cell r="J134">
            <v>39.86</v>
          </cell>
        </row>
        <row r="135">
          <cell r="C135" t="str">
            <v>rvardzel</v>
          </cell>
          <cell r="D135" t="str">
            <v>Carnegie Mellon University</v>
          </cell>
          <cell r="E135" t="str">
            <v>Business Unit: 01 GENERAL
Cost Center: 530305 FMS OPERATIONS - HOUSING MAINTENANCE
Location: Pittsburgh</v>
          </cell>
          <cell r="F135" t="str">
            <v>03/23/2026 - 04/05/2026  (Biweekly)</v>
          </cell>
          <cell r="G135" t="str">
            <v>Union Dues L95</v>
          </cell>
          <cell r="H135" t="str">
            <v>UDL95</v>
          </cell>
          <cell r="I135" t="str">
            <v>Automatic Pay Components
EC and Ded for Faculty Leave
Pay Components to resolve for Off Cycle
Post Tax Deductions
Union Dues
Withholding Order (All): Mandatory Union Dues [USA]</v>
          </cell>
          <cell r="J135">
            <v>50.44</v>
          </cell>
        </row>
        <row r="136">
          <cell r="C136" t="str">
            <v>tko9</v>
          </cell>
          <cell r="D136" t="str">
            <v>Carnegie Mellon University</v>
          </cell>
          <cell r="E136" t="str">
            <v>Business Unit: 01 GENERAL
Cost Center: 530317 FMS OPERATIONS - WEST CAMPUS
Location: Pittsburgh</v>
          </cell>
          <cell r="F136" t="str">
            <v>03/23/2026 - 04/05/2026  (Biweekly)</v>
          </cell>
          <cell r="G136" t="str">
            <v>Union Dues L95</v>
          </cell>
          <cell r="H136" t="str">
            <v>UDL95</v>
          </cell>
          <cell r="I136" t="str">
            <v>Automatic Pay Components
EC and Ded for Faculty Leave
Pay Components to resolve for Off Cycle
Post Tax Deductions
Union Dues
Withholding Order (All): Mandatory Union Dues [USA]</v>
          </cell>
          <cell r="J136">
            <v>52.36</v>
          </cell>
        </row>
        <row r="137">
          <cell r="C137" t="str">
            <v>gwwalker</v>
          </cell>
          <cell r="D137" t="str">
            <v>Carnegie Mellon University</v>
          </cell>
          <cell r="E137" t="str">
            <v>Business Unit: 01 GENERAL
Cost Center: 530302 FMS OPERATIONS - STRUCTURAL SHOP
Location: Pittsburgh</v>
          </cell>
          <cell r="F137" t="str">
            <v>03/23/2026 - 04/05/2026  (Biweekly)</v>
          </cell>
          <cell r="G137" t="str">
            <v>Union Dues L95</v>
          </cell>
          <cell r="H137" t="str">
            <v>UDL95</v>
          </cell>
          <cell r="I137" t="str">
            <v>Automatic Pay Components
EC and Ded for Faculty Leave
Pay Components to resolve for Off Cycle
Post Tax Deductions
Union Dues
Withholding Order (All): Mandatory Union Dues [USA]</v>
          </cell>
          <cell r="J137">
            <v>36.43</v>
          </cell>
        </row>
        <row r="138">
          <cell r="C138" t="str">
            <v>wwaterma</v>
          </cell>
          <cell r="D138" t="str">
            <v>Carnegie Mellon University</v>
          </cell>
          <cell r="E138" t="str">
            <v>Business Unit: 01 GENERAL
Cost Center: 530303 FMS OPERATIONS - SECOND SHIFT
Location: Pittsburgh</v>
          </cell>
          <cell r="F138" t="str">
            <v>03/23/2026 - 04/05/2026  (Biweekly)</v>
          </cell>
          <cell r="G138" t="str">
            <v>Union Dues L95</v>
          </cell>
          <cell r="H138" t="str">
            <v>UDL95</v>
          </cell>
          <cell r="I138" t="str">
            <v>Automatic Pay Components
EC and Ded for Faculty Leave
Pay Components to resolve for Off Cycle
Post Tax Deductions
Union Dues
Withholding Order (All): Mandatory Union Dues [USA]</v>
          </cell>
          <cell r="J138">
            <v>34.299999999999997</v>
          </cell>
        </row>
        <row r="139">
          <cell r="C139" t="str">
            <v>sw4r</v>
          </cell>
          <cell r="D139" t="str">
            <v>Carnegie Mellon University</v>
          </cell>
          <cell r="E139" t="str">
            <v>Business Unit: 01 GENERAL
Cost Center: 530304 FMS OPERATIONS - GARDENERS
Location: Pittsburgh</v>
          </cell>
          <cell r="F139" t="str">
            <v>03/23/2026 - 04/05/2026  (Biweekly)</v>
          </cell>
          <cell r="G139" t="str">
            <v>Union Dues L95</v>
          </cell>
          <cell r="H139" t="str">
            <v>UDL95</v>
          </cell>
          <cell r="I139" t="str">
            <v>Automatic Pay Components
EC and Ded for Faculty Leave
Pay Components to resolve for Off Cycle
Post Tax Deductions
Union Dues
Withholding Order (All): Mandatory Union Dues [USA]</v>
          </cell>
          <cell r="J139">
            <v>42.25</v>
          </cell>
        </row>
        <row r="140">
          <cell r="C140" t="str">
            <v>wweidens</v>
          </cell>
          <cell r="D140" t="str">
            <v>Carnegie Mellon University</v>
          </cell>
          <cell r="E140" t="str">
            <v>Business Unit: 01 GENERAL
Cost Center: 530319 FMS OPERATIONS - EAST ZONE
Location: Pittsburgh</v>
          </cell>
          <cell r="F140" t="str">
            <v>03/23/2026 - 04/05/2026  (Biweekly)</v>
          </cell>
          <cell r="G140" t="str">
            <v>Union Dues L95</v>
          </cell>
          <cell r="H140" t="str">
            <v>UDL95</v>
          </cell>
          <cell r="I140" t="str">
            <v>Automatic Pay Components
EC and Ded for Faculty Leave
Pay Components to resolve for Off Cycle
Post Tax Deductions
Union Dues
Withholding Order (All): Mandatory Union Dues [USA]</v>
          </cell>
          <cell r="J140">
            <v>50.44</v>
          </cell>
        </row>
        <row r="141">
          <cell r="C141" t="str">
            <v>rwelling</v>
          </cell>
          <cell r="D141" t="str">
            <v>Carnegie Mellon University</v>
          </cell>
          <cell r="E141" t="str">
            <v>Business Unit: 01 GENERAL
Cost Center: 530303 FMS OPERATIONS - SECOND SHIFT
Location: Pittsburgh</v>
          </cell>
          <cell r="F141" t="str">
            <v>03/23/2026 - 04/05/2026  (Biweekly)</v>
          </cell>
          <cell r="G141" t="str">
            <v>Union Dues L95</v>
          </cell>
          <cell r="H141" t="str">
            <v>UDL95</v>
          </cell>
          <cell r="I141" t="str">
            <v>Automatic Pay Components
EC and Ded for Faculty Leave
Pay Components to resolve for Off Cycle
Post Tax Deductions
Union Dues
Withholding Order (All): Mandatory Union Dues [USA]</v>
          </cell>
          <cell r="J141">
            <v>34.299999999999997</v>
          </cell>
        </row>
        <row r="142">
          <cell r="C142" t="str">
            <v>sbw3</v>
          </cell>
          <cell r="D142" t="str">
            <v>Carnegie Mellon University</v>
          </cell>
          <cell r="E142" t="str">
            <v>Business Unit: 01 GENERAL
Cost Center: 530317 FMS OPERATIONS - WEST CAMPUS
Location: Pittsburgh</v>
          </cell>
          <cell r="F142" t="str">
            <v>03/23/2026 - 04/05/2026  (Biweekly)</v>
          </cell>
          <cell r="G142" t="str">
            <v>Union Dues L95</v>
          </cell>
          <cell r="H142" t="str">
            <v>UDL95</v>
          </cell>
          <cell r="I142" t="str">
            <v>Automatic Pay Components
EC and Ded for Faculty Leave
Pay Components to resolve for Off Cycle
Post Tax Deductions
Union Dues
Withholding Order (All): Mandatory Union Dues [USA]</v>
          </cell>
          <cell r="J142">
            <v>0</v>
          </cell>
        </row>
        <row r="143">
          <cell r="C143" t="str">
            <v>robertwe</v>
          </cell>
          <cell r="D143" t="str">
            <v>Carnegie Mellon University</v>
          </cell>
          <cell r="E143" t="str">
            <v>Business Unit: 01 GENERAL
Cost Center: 530303 FMS OPERATIONS - SECOND SHIFT
Location: Pittsburgh</v>
          </cell>
          <cell r="F143" t="str">
            <v>03/23/2026 - 04/05/2026  (Biweekly)</v>
          </cell>
          <cell r="G143" t="str">
            <v>Union Dues L95</v>
          </cell>
          <cell r="H143" t="str">
            <v>UDL95</v>
          </cell>
          <cell r="I143" t="str">
            <v>Automatic Pay Components
EC and Ded for Faculty Leave
Pay Components to resolve for Off Cycle
Post Tax Deductions
Union Dues
Withholding Order (All): Mandatory Union Dues [USA]</v>
          </cell>
          <cell r="J143">
            <v>34.299999999999997</v>
          </cell>
        </row>
        <row r="144">
          <cell r="C144" t="str">
            <v>wwomack</v>
          </cell>
          <cell r="D144" t="str">
            <v>Carnegie Mellon University</v>
          </cell>
          <cell r="E144" t="str">
            <v>Business Unit: 01 GENERAL
Cost Center: 520110 CENTRAL RECEIVING
Location: Pittsburgh</v>
          </cell>
          <cell r="F144" t="str">
            <v>03/23/2026 - 04/05/2026  (Biweekly)</v>
          </cell>
          <cell r="G144" t="str">
            <v>Union Dues L95</v>
          </cell>
          <cell r="H144" t="str">
            <v>UDL95</v>
          </cell>
          <cell r="I144" t="str">
            <v>Automatic Pay Components
EC and Ded for Faculty Leave
Pay Components to resolve for Off Cycle
Post Tax Deductions
Union Dues
Withholding Order (All): Mandatory Union Dues [USA]</v>
          </cell>
          <cell r="J144">
            <v>36.43</v>
          </cell>
        </row>
        <row r="145">
          <cell r="C145" t="str">
            <v>jyuhasz</v>
          </cell>
          <cell r="D145" t="str">
            <v>Carnegie Mellon University</v>
          </cell>
          <cell r="E145" t="str">
            <v>Business Unit: 01 GENERAL
Cost Center: 530303 FMS OPERATIONS - SECOND SHIFT
Location: Pittsburgh</v>
          </cell>
          <cell r="F145" t="str">
            <v>03/23/2026 - 04/05/2026  (Biweekly)</v>
          </cell>
          <cell r="G145" t="str">
            <v>Union Dues L95</v>
          </cell>
          <cell r="H145" t="str">
            <v>UDL95</v>
          </cell>
          <cell r="I145" t="str">
            <v>Automatic Pay Components
EC and Ded for Faculty Leave
Pay Components to resolve for Off Cycle
Post Tax Deductions
Union Dues
Withholding Order (All): Mandatory Union Dues [USA]</v>
          </cell>
          <cell r="J145">
            <v>50.44</v>
          </cell>
        </row>
        <row r="146">
          <cell r="J146">
            <v>5871.52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">
          <cell r="C9" t="str">
            <v>Employee ID</v>
          </cell>
          <cell r="D9" t="str">
            <v>Company</v>
          </cell>
          <cell r="E9" t="str">
            <v>Organizations</v>
          </cell>
          <cell r="F9" t="str">
            <v>Period</v>
          </cell>
          <cell r="G9" t="str">
            <v>Deduction</v>
          </cell>
          <cell r="H9" t="str">
            <v>Deduction Code</v>
          </cell>
          <cell r="I9" t="str">
            <v>Pay Component Groups</v>
          </cell>
          <cell r="J9" t="str">
            <v>Current Period Result</v>
          </cell>
        </row>
        <row r="10">
          <cell r="C10" t="str">
            <v>jall</v>
          </cell>
          <cell r="D10" t="str">
            <v>Carnegie Mellon University</v>
          </cell>
          <cell r="E10" t="str">
            <v>Business Unit: 01 GENERAL
Cost Center: 530309 FMS OPERATIONS - FORBES
Location: Pittsburgh</v>
          </cell>
          <cell r="F10" t="str">
            <v>03/23/2026 - 04/05/2026  (Biweekly)</v>
          </cell>
          <cell r="G10" t="str">
            <v>Vision - L95 EE</v>
          </cell>
          <cell r="H10" t="str">
            <v>VISL95</v>
          </cell>
          <cell r="I1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">
            <v>14.7</v>
          </cell>
        </row>
        <row r="11">
          <cell r="C11" t="str">
            <v>jarlet</v>
          </cell>
          <cell r="D11" t="str">
            <v>Carnegie Mellon University</v>
          </cell>
          <cell r="E11" t="str">
            <v>Business Unit: 01 GENERAL
Cost Center: 530302 FMS OPERATIONS - STRUCTURAL SHOP
Location: Pittsburgh</v>
          </cell>
          <cell r="F11" t="str">
            <v>03/23/2026 - 04/05/2026  (Biweekly)</v>
          </cell>
          <cell r="G11" t="str">
            <v>Vision - L95 EE</v>
          </cell>
          <cell r="H11" t="str">
            <v>VISL95</v>
          </cell>
          <cell r="I1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1">
            <v>36.11</v>
          </cell>
        </row>
        <row r="12">
          <cell r="C12" t="str">
            <v>jb22</v>
          </cell>
          <cell r="D12" t="str">
            <v>Carnegie Mellon University</v>
          </cell>
          <cell r="E12" t="str">
            <v>Business Unit: 01 GENERAL
Cost Center: 530308 FMS OPERATIONS - CRAIG ST
Location: Pittsburgh</v>
          </cell>
          <cell r="F12" t="str">
            <v>03/23/2026 - 04/05/2026  (Biweekly)</v>
          </cell>
          <cell r="G12" t="str">
            <v>Vision - L95 EE</v>
          </cell>
          <cell r="H12" t="str">
            <v>VISL95</v>
          </cell>
          <cell r="I1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2">
            <v>0</v>
          </cell>
        </row>
        <row r="13">
          <cell r="C13" t="str">
            <v>dbalesti</v>
          </cell>
          <cell r="D13" t="str">
            <v>Carnegie Mellon University</v>
          </cell>
          <cell r="E13" t="str">
            <v>Business Unit: 01 GENERAL
Cost Center: 530303 FMS OPERATIONS - SECOND SHIFT
Location: Pittsburgh</v>
          </cell>
          <cell r="F13" t="str">
            <v>03/23/2026 - 04/05/2026  (Biweekly)</v>
          </cell>
          <cell r="G13" t="str">
            <v>Vision - L95 EE</v>
          </cell>
          <cell r="H13" t="str">
            <v>VISL95</v>
          </cell>
          <cell r="I1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3">
            <v>27.69</v>
          </cell>
        </row>
        <row r="14">
          <cell r="C14" t="str">
            <v>mbpl</v>
          </cell>
          <cell r="D14" t="str">
            <v>Carnegie Mellon University</v>
          </cell>
          <cell r="E14" t="str">
            <v>Business Unit: 01 GENERAL
Cost Center: 530303 FMS OPERATIONS - SECOND SHIFT
Location: Pittsburgh</v>
          </cell>
          <cell r="F14" t="str">
            <v>03/23/2026 - 04/05/2026  (Biweekly)</v>
          </cell>
          <cell r="G14" t="str">
            <v>Vision - L95 EE</v>
          </cell>
          <cell r="H14" t="str">
            <v>VISL95</v>
          </cell>
          <cell r="I1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4">
            <v>75.319999999999993</v>
          </cell>
        </row>
        <row r="15">
          <cell r="C15" t="str">
            <v>markbaum</v>
          </cell>
          <cell r="D15" t="str">
            <v>Carnegie Mellon University</v>
          </cell>
          <cell r="E15" t="str">
            <v>Business Unit: 01 GENERAL
Cost Center: 530311 FMS - NEW EMPLOYEE DEV
Location: Pittsburgh</v>
          </cell>
          <cell r="F15" t="str">
            <v>03/23/2026 - 04/05/2026  (Biweekly)</v>
          </cell>
          <cell r="G15" t="str">
            <v>Vision - L95 EE</v>
          </cell>
          <cell r="H15" t="str">
            <v>VISL95</v>
          </cell>
          <cell r="I1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5">
            <v>27.69</v>
          </cell>
        </row>
        <row r="16">
          <cell r="C16" t="str">
            <v>tbosco2</v>
          </cell>
          <cell r="D16" t="str">
            <v>Carnegie Mellon University</v>
          </cell>
          <cell r="E16" t="str">
            <v>Business Unit: 01 GENERAL
Cost Center: 530302 FMS OPERATIONS - STRUCTURAL SHOP
Location: Pittsburgh</v>
          </cell>
          <cell r="F16" t="str">
            <v>03/23/2026 - 04/05/2026  (Biweekly)</v>
          </cell>
          <cell r="G16" t="str">
            <v>Vision - L95 EE</v>
          </cell>
          <cell r="H16" t="str">
            <v>VISL95</v>
          </cell>
          <cell r="I1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6">
            <v>75.319999999999993</v>
          </cell>
        </row>
        <row r="17">
          <cell r="C17" t="str">
            <v>cbrownin</v>
          </cell>
          <cell r="D17" t="str">
            <v>Carnegie Mellon University</v>
          </cell>
          <cell r="E17" t="str">
            <v>Business Unit: 01 GENERAL
Cost Center: 530303 FMS OPERATIONS - SECOND SHIFT
Location: Pittsburgh</v>
          </cell>
          <cell r="F17" t="str">
            <v>03/23/2026 - 04/05/2026  (Biweekly)</v>
          </cell>
          <cell r="G17" t="str">
            <v>Vision - L95 EE</v>
          </cell>
          <cell r="H17" t="str">
            <v>VISL95</v>
          </cell>
          <cell r="I1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7">
            <v>36.11</v>
          </cell>
        </row>
        <row r="18">
          <cell r="C18" t="str">
            <v>gwb</v>
          </cell>
          <cell r="D18" t="str">
            <v>Carnegie Mellon University</v>
          </cell>
          <cell r="E18" t="str">
            <v>Business Unit: 01 GENERAL
Cost Center: 530303 FMS OPERATIONS - SECOND SHIFT
Location: Pittsburgh</v>
          </cell>
          <cell r="F18" t="str">
            <v>03/23/2026 - 04/05/2026  (Biweekly)</v>
          </cell>
          <cell r="G18" t="str">
            <v>Vision - L95 EE</v>
          </cell>
          <cell r="H18" t="str">
            <v>VISL95</v>
          </cell>
          <cell r="I1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8">
            <v>14.7</v>
          </cell>
        </row>
        <row r="19">
          <cell r="C19" t="str">
            <v>ccaley</v>
          </cell>
          <cell r="D19" t="str">
            <v>Carnegie Mellon University</v>
          </cell>
          <cell r="E19" t="str">
            <v>Business Unit: 01 GENERAL
Cost Center: 530302 FMS OPERATIONS - STRUCTURAL SHOP
Location: Pittsburgh</v>
          </cell>
          <cell r="F19" t="str">
            <v>03/23/2026 - 04/05/2026  (Biweekly)</v>
          </cell>
          <cell r="G19" t="str">
            <v>Vision - L95 EE</v>
          </cell>
          <cell r="H19" t="str">
            <v>VISL95</v>
          </cell>
          <cell r="I1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9">
            <v>0</v>
          </cell>
        </row>
        <row r="20">
          <cell r="C20" t="str">
            <v>wchampo</v>
          </cell>
          <cell r="D20" t="str">
            <v>Carnegie Mellon University</v>
          </cell>
          <cell r="E20" t="str">
            <v>Business Unit: 01 GENERAL
Cost Center: 530319 FMS OPERATIONS - EAST ZONE
Location: Pittsburgh</v>
          </cell>
          <cell r="F20" t="str">
            <v>03/23/2026 - 04/05/2026  (Biweekly)</v>
          </cell>
          <cell r="G20" t="str">
            <v>Vision - L95 EE</v>
          </cell>
          <cell r="H20" t="str">
            <v>VISL95</v>
          </cell>
          <cell r="I2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0">
            <v>0</v>
          </cell>
        </row>
        <row r="21">
          <cell r="C21" t="str">
            <v>rclarke</v>
          </cell>
          <cell r="D21" t="str">
            <v>Carnegie Mellon University</v>
          </cell>
          <cell r="E21" t="str">
            <v>Business Unit: 01 GENERAL
Cost Center: 530309 FMS OPERATIONS - FORBES
Location: Pittsburgh</v>
          </cell>
          <cell r="F21" t="str">
            <v>03/23/2026 - 04/05/2026  (Biweekly)</v>
          </cell>
          <cell r="G21" t="str">
            <v>Vision - L95 EE</v>
          </cell>
          <cell r="H21" t="str">
            <v>VISL95</v>
          </cell>
          <cell r="I2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1">
            <v>75.319999999999993</v>
          </cell>
        </row>
        <row r="22">
          <cell r="C22" t="str">
            <v>wcline</v>
          </cell>
          <cell r="D22" t="str">
            <v>Carnegie Mellon University</v>
          </cell>
          <cell r="E22" t="str">
            <v>Business Unit: 01 GENERAL
Cost Center: 530305 FMS OPERATIONS - HOUSING MAINTENANCE
Location: Pittsburgh</v>
          </cell>
          <cell r="F22" t="str">
            <v>03/23/2026 - 04/05/2026  (Biweekly)</v>
          </cell>
          <cell r="G22" t="str">
            <v>Vision - L95 EE</v>
          </cell>
          <cell r="H22" t="str">
            <v>VISL95</v>
          </cell>
          <cell r="I2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2">
            <v>75.319999999999993</v>
          </cell>
        </row>
        <row r="23">
          <cell r="C23" t="str">
            <v>kennyc</v>
          </cell>
          <cell r="D23" t="str">
            <v>Carnegie Mellon University</v>
          </cell>
          <cell r="E23" t="str">
            <v>Business Unit: 01 GENERAL
Cost Center: 530303 FMS OPERATIONS - SECOND SHIFT
Location: Pittsburgh</v>
          </cell>
          <cell r="F23" t="str">
            <v>03/23/2026 - 04/05/2026  (Biweekly)</v>
          </cell>
          <cell r="G23" t="str">
            <v>Vision - L95 EE</v>
          </cell>
          <cell r="H23" t="str">
            <v>VISL95</v>
          </cell>
          <cell r="I2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3">
            <v>27.69</v>
          </cell>
        </row>
        <row r="24">
          <cell r="C24" t="str">
            <v>seancoll</v>
          </cell>
          <cell r="D24" t="str">
            <v>Carnegie Mellon University</v>
          </cell>
          <cell r="E24" t="str">
            <v>Business Unit: 01 GENERAL
Cost Center: 530311 FMS - NEW EMPLOYEE DEV
Location: Pittsburgh</v>
          </cell>
          <cell r="F24" t="str">
            <v>03/23/2026 - 04/05/2026  (Biweekly)</v>
          </cell>
          <cell r="G24" t="str">
            <v>Vision - L95 EE</v>
          </cell>
          <cell r="H24" t="str">
            <v>VISL95</v>
          </cell>
          <cell r="I2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4">
            <v>0</v>
          </cell>
        </row>
        <row r="25">
          <cell r="C25" t="str">
            <v>wcraig</v>
          </cell>
          <cell r="D25" t="str">
            <v>Carnegie Mellon University</v>
          </cell>
          <cell r="E25" t="str">
            <v>Business Unit: 01 GENERAL
Cost Center: 530305 FMS OPERATIONS - HOUSING MAINTENANCE
Location: Pittsburgh</v>
          </cell>
          <cell r="F25" t="str">
            <v>03/23/2026 - 04/05/2026  (Biweekly)</v>
          </cell>
          <cell r="G25" t="str">
            <v>Vision - L95 EE</v>
          </cell>
          <cell r="H25" t="str">
            <v>VISL95</v>
          </cell>
          <cell r="I2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5">
            <v>36.11</v>
          </cell>
        </row>
        <row r="26">
          <cell r="C26" t="str">
            <v>rcylenic</v>
          </cell>
          <cell r="D26" t="str">
            <v>Carnegie Mellon University</v>
          </cell>
          <cell r="E26" t="str">
            <v>Business Unit: 01 GENERAL
Cost Center: 530303 FMS OPERATIONS - SECOND SHIFT
Location: Pittsburgh</v>
          </cell>
          <cell r="F26" t="str">
            <v>03/23/2026 - 04/05/2026  (Biweekly)</v>
          </cell>
          <cell r="G26" t="str">
            <v>Vision - L95 EE</v>
          </cell>
          <cell r="H26" t="str">
            <v>VISL95</v>
          </cell>
          <cell r="I2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6">
            <v>36.11</v>
          </cell>
        </row>
        <row r="27">
          <cell r="C27" t="str">
            <v>wdavis2</v>
          </cell>
          <cell r="D27" t="str">
            <v>Carnegie Mellon University</v>
          </cell>
          <cell r="E27" t="str">
            <v>Business Unit: 01 GENERAL
Cost Center: 530303 FMS OPERATIONS - SECOND SHIFT
Location: Pittsburgh</v>
          </cell>
          <cell r="F27" t="str">
            <v>03/23/2026 - 04/05/2026  (Biweekly)</v>
          </cell>
          <cell r="G27" t="str">
            <v>Vision - L95 EE</v>
          </cell>
          <cell r="H27" t="str">
            <v>VISL95</v>
          </cell>
          <cell r="I2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7">
            <v>0</v>
          </cell>
        </row>
        <row r="28">
          <cell r="C28" t="str">
            <v>rdeighan</v>
          </cell>
          <cell r="D28" t="str">
            <v>Carnegie Mellon University</v>
          </cell>
          <cell r="E28" t="str">
            <v>Business Unit: 01 GENERAL
Cost Center: 530308 FMS OPERATIONS - CRAIG ST
Location: Pittsburgh</v>
          </cell>
          <cell r="F28" t="str">
            <v>03/23/2026 - 04/05/2026  (Biweekly)</v>
          </cell>
          <cell r="G28" t="str">
            <v>Vision - L95 EE</v>
          </cell>
          <cell r="H28" t="str">
            <v>VISL95</v>
          </cell>
          <cell r="I2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8">
            <v>14.7</v>
          </cell>
        </row>
        <row r="29">
          <cell r="C29" t="str">
            <v>sdenne</v>
          </cell>
          <cell r="D29" t="str">
            <v>Carnegie Mellon University</v>
          </cell>
          <cell r="E29" t="str">
            <v>Business Unit: 01 GENERAL
Cost Center: 530304 FMS OPERATIONS - GARDENERS
Location: Pittsburgh</v>
          </cell>
          <cell r="F29" t="str">
            <v>03/23/2026 - 04/05/2026  (Biweekly)</v>
          </cell>
          <cell r="G29" t="str">
            <v>Vision - L95 EE</v>
          </cell>
          <cell r="H29" t="str">
            <v>VISL95</v>
          </cell>
          <cell r="I2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29">
            <v>27.69</v>
          </cell>
        </row>
        <row r="30">
          <cell r="C30" t="str">
            <v>tfetterm</v>
          </cell>
          <cell r="D30" t="str">
            <v>Carnegie Mellon University</v>
          </cell>
          <cell r="E30" t="str">
            <v>Business Unit: 01 GENERAL
Cost Center: 530303 FMS OPERATIONS - SECOND SHIFT
Location: Pittsburgh</v>
          </cell>
          <cell r="F30" t="str">
            <v>03/23/2026 - 04/05/2026  (Biweekly)</v>
          </cell>
          <cell r="G30" t="str">
            <v>Vision - L95 EE</v>
          </cell>
          <cell r="H30" t="str">
            <v>VISL95</v>
          </cell>
          <cell r="I3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0">
            <v>27.69</v>
          </cell>
        </row>
        <row r="31">
          <cell r="C31" t="str">
            <v>mfife</v>
          </cell>
          <cell r="D31" t="str">
            <v>Carnegie Mellon University</v>
          </cell>
          <cell r="E31" t="str">
            <v>Business Unit: 01 GENERAL
Cost Center: 530309 FMS OPERATIONS - FORBES
Location: Pittsburgh</v>
          </cell>
          <cell r="F31" t="str">
            <v>03/23/2026 - 04/05/2026  (Biweekly)</v>
          </cell>
          <cell r="G31" t="str">
            <v>Vision - L95 EE</v>
          </cell>
          <cell r="H31" t="str">
            <v>VISL95</v>
          </cell>
          <cell r="I3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1">
            <v>27.69</v>
          </cell>
        </row>
        <row r="32">
          <cell r="C32" t="str">
            <v>afohl</v>
          </cell>
          <cell r="D32" t="str">
            <v>Carnegie Mellon University</v>
          </cell>
          <cell r="E32" t="str">
            <v>Business Unit: 01 GENERAL
Cost Center: 530302 FMS OPERATIONS - STRUCTURAL SHOP
Location: Pittsburgh</v>
          </cell>
          <cell r="F32" t="str">
            <v>03/23/2026 - 04/05/2026  (Biweekly)</v>
          </cell>
          <cell r="G32" t="str">
            <v>Vision - L95 EE</v>
          </cell>
          <cell r="H32" t="str">
            <v>VISL95</v>
          </cell>
          <cell r="I3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2">
            <v>75.319999999999993</v>
          </cell>
        </row>
        <row r="33">
          <cell r="C33" t="str">
            <v>mfrantz</v>
          </cell>
          <cell r="D33" t="str">
            <v>Carnegie Mellon University</v>
          </cell>
          <cell r="E33" t="str">
            <v>Business Unit: 01 GENERAL
Cost Center: 530304 FMS OPERATIONS - GARDENERS
Location: Pittsburgh</v>
          </cell>
          <cell r="F33" t="str">
            <v>03/23/2026 - 04/05/2026  (Biweekly)</v>
          </cell>
          <cell r="G33" t="str">
            <v>Vision - L95 EE</v>
          </cell>
          <cell r="H33" t="str">
            <v>VISL95</v>
          </cell>
          <cell r="I3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3">
            <v>27.69</v>
          </cell>
        </row>
        <row r="34">
          <cell r="C34" t="str">
            <v>dg24</v>
          </cell>
          <cell r="D34" t="str">
            <v>Carnegie Mellon University</v>
          </cell>
          <cell r="E34" t="str">
            <v>Business Unit: 01 GENERAL
Cost Center: 530302 FMS OPERATIONS - STRUCTURAL SHOP
Location: Pittsburgh</v>
          </cell>
          <cell r="F34" t="str">
            <v>03/23/2026 - 04/05/2026  (Biweekly)</v>
          </cell>
          <cell r="G34" t="str">
            <v>Vision - L95 EE</v>
          </cell>
          <cell r="H34" t="str">
            <v>VISL95</v>
          </cell>
          <cell r="I3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4">
            <v>63.8</v>
          </cell>
        </row>
        <row r="35">
          <cell r="C35" t="str">
            <v>ryangilm</v>
          </cell>
          <cell r="D35" t="str">
            <v>Carnegie Mellon University</v>
          </cell>
          <cell r="E35" t="str">
            <v>Business Unit: 01 GENERAL
Cost Center: 530302 FMS OPERATIONS - STRUCTURAL SHOP
Location: Pittsburgh</v>
          </cell>
          <cell r="F35" t="str">
            <v>03/23/2026 - 04/05/2026  (Biweekly)</v>
          </cell>
          <cell r="G35" t="str">
            <v>Vision - L95 EE</v>
          </cell>
          <cell r="H35" t="str">
            <v>VISL95</v>
          </cell>
          <cell r="I3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5">
            <v>75.319999999999993</v>
          </cell>
        </row>
        <row r="36">
          <cell r="C36" t="str">
            <v>mg77</v>
          </cell>
          <cell r="D36" t="str">
            <v>Carnegie Mellon University</v>
          </cell>
          <cell r="E36" t="str">
            <v>Business Unit: 01 GENERAL
Cost Center: 530309 FMS OPERATIONS - FORBES
Location: Pittsburgh</v>
          </cell>
          <cell r="F36" t="str">
            <v>03/23/2026 - 04/05/2026  (Biweekly)</v>
          </cell>
          <cell r="G36" t="str">
            <v>Vision - L95 EE</v>
          </cell>
          <cell r="H36" t="str">
            <v>VISL95</v>
          </cell>
          <cell r="I3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6">
            <v>36.11</v>
          </cell>
        </row>
        <row r="37">
          <cell r="C37" t="str">
            <v>bg2m</v>
          </cell>
          <cell r="D37" t="str">
            <v>Carnegie Mellon University</v>
          </cell>
          <cell r="E37" t="str">
            <v>Business Unit: 01 GENERAL
Cost Center: 530317 FMS OPERATIONS - WEST CAMPUS
Location: Pittsburgh</v>
          </cell>
          <cell r="F37" t="str">
            <v>03/23/2026 - 04/05/2026  (Biweekly)</v>
          </cell>
          <cell r="G37" t="str">
            <v>Vision - L95 EE</v>
          </cell>
          <cell r="H37" t="str">
            <v>VISL95</v>
          </cell>
          <cell r="I3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7">
            <v>0</v>
          </cell>
        </row>
        <row r="38">
          <cell r="C38" t="str">
            <v>tlgray</v>
          </cell>
          <cell r="D38" t="str">
            <v>Carnegie Mellon University</v>
          </cell>
          <cell r="E38" t="str">
            <v>Business Unit: 01 GENERAL
Cost Center: 530303 FMS OPERATIONS - SECOND SHIFT
Location: Pittsburgh</v>
          </cell>
          <cell r="F38" t="str">
            <v>03/23/2026 - 04/05/2026  (Biweekly)</v>
          </cell>
          <cell r="G38" t="str">
            <v>Vision - L95 EE</v>
          </cell>
          <cell r="H38" t="str">
            <v>VISL95</v>
          </cell>
          <cell r="I3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8">
            <v>83.96</v>
          </cell>
        </row>
        <row r="39">
          <cell r="C39" t="str">
            <v>ggregg</v>
          </cell>
          <cell r="D39" t="str">
            <v>Carnegie Mellon University</v>
          </cell>
          <cell r="E39" t="str">
            <v>Business Unit: 01 GENERAL
Cost Center: 530311 FMS - NEW EMPLOYEE DEV
Location: Pittsburgh</v>
          </cell>
          <cell r="F39" t="str">
            <v>03/23/2026 - 04/05/2026  (Biweekly)</v>
          </cell>
          <cell r="G39" t="str">
            <v>Vision - L95 EE</v>
          </cell>
          <cell r="H39" t="str">
            <v>VISL95</v>
          </cell>
          <cell r="I3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39">
            <v>14.7</v>
          </cell>
        </row>
        <row r="40">
          <cell r="C40" t="str">
            <v>mgroman</v>
          </cell>
          <cell r="D40" t="str">
            <v>Carnegie Mellon University</v>
          </cell>
          <cell r="E40" t="str">
            <v>Business Unit: 01 GENERAL
Cost Center: 530302 FMS OPERATIONS - STRUCTURAL SHOP
Location: Pittsburgh</v>
          </cell>
          <cell r="F40" t="str">
            <v>03/23/2026 - 04/05/2026  (Biweekly)</v>
          </cell>
          <cell r="G40" t="str">
            <v>Vision - L95 EE</v>
          </cell>
          <cell r="H40" t="str">
            <v>VISL95</v>
          </cell>
          <cell r="I4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0">
            <v>0</v>
          </cell>
        </row>
        <row r="41">
          <cell r="C41" t="str">
            <v>crha</v>
          </cell>
          <cell r="D41" t="str">
            <v>Carnegie Mellon University</v>
          </cell>
          <cell r="E41" t="str">
            <v>Business Unit: 01 GENERAL
Cost Center: 530319 FMS OPERATIONS - EAST ZONE
Location: Pittsburgh</v>
          </cell>
          <cell r="F41" t="str">
            <v>03/23/2026 - 04/05/2026  (Biweekly)</v>
          </cell>
          <cell r="G41" t="str">
            <v>Vision - L95 EE</v>
          </cell>
          <cell r="H41" t="str">
            <v>VISL95</v>
          </cell>
          <cell r="I4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1">
            <v>0</v>
          </cell>
        </row>
        <row r="42">
          <cell r="C42" t="str">
            <v>nhatala</v>
          </cell>
          <cell r="D42" t="str">
            <v>Carnegie Mellon University</v>
          </cell>
          <cell r="E42" t="str">
            <v>Business Unit: 01 GENERAL
Cost Center: 530303 FMS OPERATIONS - SECOND SHIFT
Location: Pittsburgh</v>
          </cell>
          <cell r="F42" t="str">
            <v>03/23/2026 - 04/05/2026  (Biweekly)</v>
          </cell>
          <cell r="G42" t="str">
            <v>Vision - L95 EE</v>
          </cell>
          <cell r="H42" t="str">
            <v>VISL95</v>
          </cell>
          <cell r="I4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2">
            <v>75.319999999999993</v>
          </cell>
        </row>
        <row r="43">
          <cell r="C43" t="str">
            <v>jhefflin</v>
          </cell>
          <cell r="D43" t="str">
            <v>Carnegie Mellon University</v>
          </cell>
          <cell r="E43" t="str">
            <v>Business Unit: 01 GENERAL
Cost Center: 530311 FMS - NEW EMPLOYEE DEV
Location: Pittsburgh</v>
          </cell>
          <cell r="F43" t="str">
            <v>03/23/2026 - 04/05/2026  (Biweekly)</v>
          </cell>
          <cell r="G43" t="str">
            <v>Vision - L95 EE</v>
          </cell>
          <cell r="H43" t="str">
            <v>VISL95</v>
          </cell>
          <cell r="I4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3">
            <v>113.4</v>
          </cell>
        </row>
        <row r="44">
          <cell r="C44" t="str">
            <v>rh4y</v>
          </cell>
          <cell r="D44" t="str">
            <v>Carnegie Mellon University</v>
          </cell>
          <cell r="E44" t="str">
            <v>Business Unit: 01 GENERAL
Cost Center: 530302 FMS OPERATIONS - STRUCTURAL SHOP
Location: Pittsburgh</v>
          </cell>
          <cell r="F44" t="str">
            <v>03/23/2026 - 04/05/2026  (Biweekly)</v>
          </cell>
          <cell r="G44" t="str">
            <v>Vision - L95 EE</v>
          </cell>
          <cell r="H44" t="str">
            <v>VISL95</v>
          </cell>
          <cell r="I4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4">
            <v>0</v>
          </cell>
        </row>
        <row r="45">
          <cell r="C45" t="str">
            <v>nholback</v>
          </cell>
          <cell r="D45" t="str">
            <v>Carnegie Mellon University</v>
          </cell>
          <cell r="E45" t="str">
            <v>Business Unit: 01 GENERAL
Cost Center: 530304 FMS OPERATIONS - GARDENERS
Location: Pittsburgh</v>
          </cell>
          <cell r="F45" t="str">
            <v>03/23/2026 - 04/05/2026  (Biweekly)</v>
          </cell>
          <cell r="G45" t="str">
            <v>Vision - L95 EE</v>
          </cell>
          <cell r="H45" t="str">
            <v>VISL95</v>
          </cell>
          <cell r="I4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5">
            <v>14.7</v>
          </cell>
        </row>
        <row r="46">
          <cell r="C46" t="str">
            <v>kjoh</v>
          </cell>
          <cell r="D46" t="str">
            <v>Carnegie Mellon University</v>
          </cell>
          <cell r="E46" t="str">
            <v>Business Unit: 01 GENERAL
Cost Center: 530303 FMS OPERATIONS - SECOND SHIFT
Location: Pittsburgh</v>
          </cell>
          <cell r="F46" t="str">
            <v>03/23/2026 - 04/05/2026  (Biweekly)</v>
          </cell>
          <cell r="G46" t="str">
            <v>Vision - L95 EE</v>
          </cell>
          <cell r="H46" t="str">
            <v>VISL95</v>
          </cell>
          <cell r="I4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6">
            <v>36.11</v>
          </cell>
        </row>
        <row r="47">
          <cell r="C47" t="str">
            <v>msjones</v>
          </cell>
          <cell r="D47" t="str">
            <v>Carnegie Mellon University</v>
          </cell>
          <cell r="E47" t="str">
            <v>Business Unit: 01 GENERAL
Cost Center: 530317 FMS OPERATIONS - WEST CAMPUS
Location: Pittsburgh</v>
          </cell>
          <cell r="F47" t="str">
            <v>03/23/2026 - 04/05/2026  (Biweekly)</v>
          </cell>
          <cell r="G47" t="str">
            <v>Vision - L95 EE</v>
          </cell>
          <cell r="H47" t="str">
            <v>VISL95</v>
          </cell>
          <cell r="I4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7">
            <v>75.319999999999993</v>
          </cell>
        </row>
        <row r="48">
          <cell r="C48" t="str">
            <v>mk9a</v>
          </cell>
          <cell r="D48" t="str">
            <v>Carnegie Mellon University</v>
          </cell>
          <cell r="E48" t="str">
            <v>Business Unit: 01 GENERAL
Cost Center: 530302 FMS OPERATIONS - STRUCTURAL SHOP
Location: Pittsburgh</v>
          </cell>
          <cell r="F48" t="str">
            <v>03/23/2026 - 04/05/2026  (Biweekly)</v>
          </cell>
          <cell r="G48" t="str">
            <v>Vision - L95 EE</v>
          </cell>
          <cell r="H48" t="str">
            <v>VISL95</v>
          </cell>
          <cell r="I4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8">
            <v>0</v>
          </cell>
        </row>
        <row r="49">
          <cell r="C49" t="str">
            <v>tkeim</v>
          </cell>
          <cell r="D49" t="str">
            <v>Carnegie Mellon University</v>
          </cell>
          <cell r="E49" t="str">
            <v>Business Unit: 01 GENERAL
Cost Center: 530315 FMS OPERATIONS - STOREROOM/INVENTORY
Location: Pittsburgh</v>
          </cell>
          <cell r="F49" t="str">
            <v>03/23/2026 - 04/05/2026  (Biweekly)</v>
          </cell>
          <cell r="G49" t="str">
            <v>Vision - L95 EE</v>
          </cell>
          <cell r="H49" t="str">
            <v>VISL95</v>
          </cell>
          <cell r="I4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49">
            <v>83.96</v>
          </cell>
        </row>
        <row r="50">
          <cell r="C50" t="str">
            <v>dkickler</v>
          </cell>
          <cell r="D50" t="str">
            <v>Carnegie Mellon University</v>
          </cell>
          <cell r="E50" t="str">
            <v>Business Unit: 01 GENERAL
Cost Center: 530302 FMS OPERATIONS - STRUCTURAL SHOP
Location: Pittsburgh</v>
          </cell>
          <cell r="F50" t="str">
            <v>03/23/2026 - 04/05/2026  (Biweekly)</v>
          </cell>
          <cell r="G50" t="str">
            <v>Vision - L95 EE</v>
          </cell>
          <cell r="H50" t="str">
            <v>VISL95</v>
          </cell>
          <cell r="I5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0">
            <v>75.319999999999993</v>
          </cell>
        </row>
        <row r="51">
          <cell r="C51" t="str">
            <v>ladner</v>
          </cell>
          <cell r="D51" t="str">
            <v>Carnegie Mellon University</v>
          </cell>
          <cell r="E51" t="str">
            <v>Business Unit: 01 GENERAL
Cost Center: 530311 FMS - NEW EMPLOYEE DEV
Location: Pittsburgh</v>
          </cell>
          <cell r="F51" t="str">
            <v>03/23/2026 - 04/05/2026  (Biweekly)</v>
          </cell>
          <cell r="G51" t="str">
            <v>Vision - L95 EE</v>
          </cell>
          <cell r="H51" t="str">
            <v>VISL95</v>
          </cell>
          <cell r="I5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1">
            <v>14.7</v>
          </cell>
        </row>
        <row r="52">
          <cell r="C52" t="str">
            <v>bl88</v>
          </cell>
          <cell r="D52" t="str">
            <v>Carnegie Mellon University</v>
          </cell>
          <cell r="E52" t="str">
            <v>Business Unit: 01 GENERAL
Cost Center: 530308 FMS OPERATIONS - CRAIG ST
Location: Pittsburgh</v>
          </cell>
          <cell r="F52" t="str">
            <v>03/23/2026 - 04/05/2026  (Biweekly)</v>
          </cell>
          <cell r="G52" t="str">
            <v>Vision - L95 EE</v>
          </cell>
          <cell r="H52" t="str">
            <v>VISL95</v>
          </cell>
          <cell r="I5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2">
            <v>75.319999999999993</v>
          </cell>
        </row>
        <row r="53">
          <cell r="C53" t="str">
            <v>ml01</v>
          </cell>
          <cell r="D53" t="str">
            <v>Carnegie Mellon University</v>
          </cell>
          <cell r="E53" t="str">
            <v>Business Unit: 01 GENERAL
Cost Center: 530319 FMS OPERATIONS - EAST ZONE
Location: Pittsburgh</v>
          </cell>
          <cell r="F53" t="str">
            <v>03/23/2026 - 04/05/2026  (Biweekly)</v>
          </cell>
          <cell r="G53" t="str">
            <v>Vision - L95 EE</v>
          </cell>
          <cell r="H53" t="str">
            <v>VISL95</v>
          </cell>
          <cell r="I5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3">
            <v>36.11</v>
          </cell>
        </row>
        <row r="54">
          <cell r="C54" t="str">
            <v>jonasm</v>
          </cell>
          <cell r="D54" t="str">
            <v>Carnegie Mellon University</v>
          </cell>
          <cell r="E54" t="str">
            <v>Business Unit: 01 GENERAL
Cost Center: 530317 FMS OPERATIONS - WEST CAMPUS
Location: Pittsburgh</v>
          </cell>
          <cell r="F54" t="str">
            <v>03/23/2026 - 04/05/2026  (Biweekly)</v>
          </cell>
          <cell r="G54" t="str">
            <v>Vision - L95 EE</v>
          </cell>
          <cell r="H54" t="str">
            <v>VISL95</v>
          </cell>
          <cell r="I5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4">
            <v>83.96</v>
          </cell>
        </row>
        <row r="55">
          <cell r="C55" t="str">
            <v>bmahan</v>
          </cell>
          <cell r="D55" t="str">
            <v>Carnegie Mellon University</v>
          </cell>
          <cell r="E55" t="str">
            <v>Business Unit: 01 GENERAL
Cost Center: 530305 FMS OPERATIONS - HOUSING MAINTENANCE
Location: Pittsburgh</v>
          </cell>
          <cell r="F55" t="str">
            <v>03/23/2026 - 04/05/2026  (Biweekly)</v>
          </cell>
          <cell r="G55" t="str">
            <v>Vision - L95 EE</v>
          </cell>
          <cell r="H55" t="str">
            <v>VISL95</v>
          </cell>
          <cell r="I5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5">
            <v>75.319999999999993</v>
          </cell>
        </row>
        <row r="56">
          <cell r="C56" t="str">
            <v>jama</v>
          </cell>
          <cell r="D56" t="str">
            <v>Carnegie Mellon University</v>
          </cell>
          <cell r="E56" t="str">
            <v>Business Unit: 01 GENERAL
Cost Center: 530317 FMS OPERATIONS - WEST CAMPUS
Location: Pittsburgh</v>
          </cell>
          <cell r="F56" t="str">
            <v>03/23/2026 - 04/05/2026  (Biweekly)</v>
          </cell>
          <cell r="G56" t="str">
            <v>Vision - L95 EE</v>
          </cell>
          <cell r="H56" t="str">
            <v>VISL95</v>
          </cell>
          <cell r="I5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6">
            <v>75.319999999999993</v>
          </cell>
        </row>
        <row r="57">
          <cell r="C57" t="str">
            <v>em98</v>
          </cell>
          <cell r="D57" t="str">
            <v>Carnegie Mellon University</v>
          </cell>
          <cell r="E57" t="str">
            <v>Business Unit: 01 GENERAL
Cost Center: 530303 FMS OPERATIONS - SECOND SHIFT
Location: Pittsburgh</v>
          </cell>
          <cell r="F57" t="str">
            <v>03/23/2026 - 04/05/2026  (Biweekly)</v>
          </cell>
          <cell r="G57" t="str">
            <v>Vision - L95 EE</v>
          </cell>
          <cell r="H57" t="str">
            <v>VISL95</v>
          </cell>
          <cell r="I5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7">
            <v>27.69</v>
          </cell>
        </row>
        <row r="58">
          <cell r="C58" t="str">
            <v>imatejci</v>
          </cell>
          <cell r="D58" t="str">
            <v>Carnegie Mellon University</v>
          </cell>
          <cell r="E58" t="str">
            <v>Business Unit: 01 GENERAL
Cost Center: 530317 FMS OPERATIONS - WEST CAMPUS
Location: Pittsburgh</v>
          </cell>
          <cell r="F58" t="str">
            <v>03/23/2026 - 04/05/2026  (Biweekly)</v>
          </cell>
          <cell r="G58" t="str">
            <v>Vision - L95 EE</v>
          </cell>
          <cell r="H58" t="str">
            <v>VISL95</v>
          </cell>
          <cell r="I5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8">
            <v>27.69</v>
          </cell>
        </row>
        <row r="59">
          <cell r="C59" t="str">
            <v>shaunmcc</v>
          </cell>
          <cell r="D59" t="str">
            <v>Carnegie Mellon University</v>
          </cell>
          <cell r="E59" t="str">
            <v>Business Unit: 01 GENERAL
Cost Center: 530305 FMS OPERATIONS - HOUSING MAINTENANCE
Location: Pittsburgh</v>
          </cell>
          <cell r="F59" t="str">
            <v>03/23/2026 - 04/05/2026  (Biweekly)</v>
          </cell>
          <cell r="G59" t="str">
            <v>Vision - L95 EE</v>
          </cell>
          <cell r="H59" t="str">
            <v>VISL95</v>
          </cell>
          <cell r="I5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59">
            <v>27.69</v>
          </cell>
        </row>
        <row r="60">
          <cell r="C60" t="str">
            <v>smcc</v>
          </cell>
          <cell r="D60" t="str">
            <v>Carnegie Mellon University</v>
          </cell>
          <cell r="E60" t="str">
            <v>Business Unit: 01 GENERAL
Cost Center: 530319 FMS OPERATIONS - EAST ZONE
Location: Pittsburgh</v>
          </cell>
          <cell r="F60" t="str">
            <v>03/23/2026 - 04/05/2026  (Biweekly)</v>
          </cell>
          <cell r="G60" t="str">
            <v>Vision - L95 EE</v>
          </cell>
          <cell r="H60" t="str">
            <v>VISL95</v>
          </cell>
          <cell r="I6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0">
            <v>75.319999999999993</v>
          </cell>
        </row>
        <row r="61">
          <cell r="C61" t="str">
            <v>cjmeyers</v>
          </cell>
          <cell r="D61" t="str">
            <v>Carnegie Mellon University</v>
          </cell>
          <cell r="E61" t="str">
            <v>Business Unit: 01 GENERAL
Cost Center: 520110 CENTRAL RECEIVING
Location: Pittsburgh</v>
          </cell>
          <cell r="F61" t="str">
            <v>03/23/2026 - 04/05/2026  (Biweekly)</v>
          </cell>
          <cell r="G61" t="str">
            <v>Vision - L95 EE</v>
          </cell>
          <cell r="H61" t="str">
            <v>VISL95</v>
          </cell>
          <cell r="I6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1">
            <v>75.319999999999993</v>
          </cell>
        </row>
        <row r="62">
          <cell r="C62" t="str">
            <v>fmichals</v>
          </cell>
          <cell r="D62" t="str">
            <v>Carnegie Mellon University</v>
          </cell>
          <cell r="E62" t="str">
            <v>Business Unit: 01 GENERAL
Cost Center: 530317 FMS OPERATIONS - WEST CAMPUS
Location: Pittsburgh</v>
          </cell>
          <cell r="F62" t="str">
            <v>03/23/2026 - 04/05/2026  (Biweekly)</v>
          </cell>
          <cell r="G62" t="str">
            <v>Vision - L95 EE</v>
          </cell>
          <cell r="H62" t="str">
            <v>VISL95</v>
          </cell>
          <cell r="I6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2">
            <v>63.8</v>
          </cell>
        </row>
        <row r="63">
          <cell r="C63" t="str">
            <v>stevemoo</v>
          </cell>
          <cell r="D63" t="str">
            <v>Carnegie Mellon University</v>
          </cell>
          <cell r="E63" t="str">
            <v>Business Unit: 01 GENERAL
Cost Center: 530317 FMS OPERATIONS - WEST CAMPUS
Location: Pittsburgh</v>
          </cell>
          <cell r="F63" t="str">
            <v>03/23/2026 - 04/05/2026  (Biweekly)</v>
          </cell>
          <cell r="G63" t="str">
            <v>Vision - L95 EE</v>
          </cell>
          <cell r="H63" t="str">
            <v>VISL95</v>
          </cell>
          <cell r="I6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3">
            <v>75.319999999999993</v>
          </cell>
        </row>
        <row r="64">
          <cell r="C64" t="str">
            <v>sc04</v>
          </cell>
          <cell r="D64" t="str">
            <v>Carnegie Mellon University</v>
          </cell>
          <cell r="E64" t="str">
            <v>Business Unit: 01 GENERAL
Cost Center: 530317 FMS OPERATIONS - WEST CAMPUS
Location: Pittsburgh</v>
          </cell>
          <cell r="F64" t="str">
            <v>03/23/2026 - 04/05/2026  (Biweekly)</v>
          </cell>
          <cell r="G64" t="str">
            <v>Vision - L95 EE</v>
          </cell>
          <cell r="H64" t="str">
            <v>VISL95</v>
          </cell>
          <cell r="I6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4">
            <v>75.319999999999993</v>
          </cell>
        </row>
        <row r="65">
          <cell r="C65" t="str">
            <v>dmurphy</v>
          </cell>
          <cell r="D65" t="str">
            <v>Carnegie Mellon University</v>
          </cell>
          <cell r="E65" t="str">
            <v>Business Unit: 01 GENERAL
Cost Center: 530319 FMS OPERATIONS - EAST ZONE
Location: Pittsburgh</v>
          </cell>
          <cell r="F65" t="str">
            <v>03/23/2026 - 04/05/2026  (Biweekly)</v>
          </cell>
          <cell r="G65" t="str">
            <v>Vision - L95 EE</v>
          </cell>
          <cell r="H65" t="str">
            <v>VISL95</v>
          </cell>
          <cell r="I6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5">
            <v>63.8</v>
          </cell>
        </row>
        <row r="66">
          <cell r="C66" t="str">
            <v>jamesmur</v>
          </cell>
          <cell r="D66" t="str">
            <v>Carnegie Mellon University</v>
          </cell>
          <cell r="E66" t="str">
            <v>Business Unit: 01 GENERAL
Cost Center: 530308 FMS OPERATIONS - CRAIG ST
Location: Pittsburgh</v>
          </cell>
          <cell r="F66" t="str">
            <v>03/23/2026 - 04/05/2026  (Biweekly)</v>
          </cell>
          <cell r="G66" t="str">
            <v>Vision - L95 EE</v>
          </cell>
          <cell r="H66" t="str">
            <v>VISL95</v>
          </cell>
          <cell r="I6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6">
            <v>75.319999999999993</v>
          </cell>
        </row>
        <row r="67">
          <cell r="C67" t="str">
            <v>dnofi</v>
          </cell>
          <cell r="D67" t="str">
            <v>Carnegie Mellon University</v>
          </cell>
          <cell r="E67" t="str">
            <v>Business Unit: 01 GENERAL
Cost Center: 530319 FMS OPERATIONS - EAST ZONE
Location: Pittsburgh</v>
          </cell>
          <cell r="F67" t="str">
            <v>03/23/2026 - 04/05/2026  (Biweekly)</v>
          </cell>
          <cell r="G67" t="str">
            <v>Vision - L95 EE</v>
          </cell>
          <cell r="H67" t="str">
            <v>VISL95</v>
          </cell>
          <cell r="I6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7">
            <v>27.69</v>
          </cell>
        </row>
        <row r="68">
          <cell r="C68" t="str">
            <v>tgo</v>
          </cell>
          <cell r="D68" t="str">
            <v>Carnegie Mellon University</v>
          </cell>
          <cell r="E68" t="str">
            <v>Business Unit: 01 GENERAL
Cost Center: 530304 FMS OPERATIONS - GARDENERS
Location: Pittsburgh</v>
          </cell>
          <cell r="F68" t="str">
            <v>03/23/2026 - 04/05/2026  (Biweekly)</v>
          </cell>
          <cell r="G68" t="str">
            <v>Vision - L95 EE</v>
          </cell>
          <cell r="H68" t="str">
            <v>VISL95</v>
          </cell>
          <cell r="I6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8">
            <v>75.319999999999993</v>
          </cell>
        </row>
        <row r="69">
          <cell r="C69" t="str">
            <v>mo31</v>
          </cell>
          <cell r="D69" t="str">
            <v>Carnegie Mellon University</v>
          </cell>
          <cell r="E69" t="str">
            <v>Business Unit: 01 GENERAL
Cost Center: 530302 FMS OPERATIONS - STRUCTURAL SHOP
Location: Pittsburgh</v>
          </cell>
          <cell r="F69" t="str">
            <v>03/23/2026 - 04/05/2026  (Biweekly)</v>
          </cell>
          <cell r="G69" t="str">
            <v>Vision - L95 EE</v>
          </cell>
          <cell r="H69" t="str">
            <v>VISL95</v>
          </cell>
          <cell r="I6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69">
            <v>83.96</v>
          </cell>
        </row>
        <row r="70">
          <cell r="C70" t="str">
            <v>mp11</v>
          </cell>
          <cell r="D70" t="str">
            <v>Carnegie Mellon University</v>
          </cell>
          <cell r="E70" t="str">
            <v>Business Unit: 01 GENERAL
Cost Center: 530308 FMS OPERATIONS - CRAIG ST
Location: Pittsburgh</v>
          </cell>
          <cell r="F70" t="str">
            <v>03/23/2026 - 04/05/2026  (Biweekly)</v>
          </cell>
          <cell r="G70" t="str">
            <v>Vision - L95 EE</v>
          </cell>
          <cell r="H70" t="str">
            <v>VISL95</v>
          </cell>
          <cell r="I7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0">
            <v>75.319999999999993</v>
          </cell>
        </row>
        <row r="71">
          <cell r="C71" t="str">
            <v>jpiacqua</v>
          </cell>
          <cell r="D71" t="str">
            <v>Carnegie Mellon University</v>
          </cell>
          <cell r="E71" t="str">
            <v>Business Unit: 01 GENERAL
Cost Center: 530305 FMS OPERATIONS - HOUSING MAINTENANCE
Location: Pittsburgh</v>
          </cell>
          <cell r="F71" t="str">
            <v>03/23/2026 - 04/05/2026  (Biweekly)</v>
          </cell>
          <cell r="G71" t="str">
            <v>Vision - L95 EE</v>
          </cell>
          <cell r="H71" t="str">
            <v>VISL95</v>
          </cell>
          <cell r="I7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1">
            <v>36.11</v>
          </cell>
        </row>
        <row r="72">
          <cell r="C72" t="str">
            <v>vpielin</v>
          </cell>
          <cell r="D72" t="str">
            <v>Carnegie Mellon University</v>
          </cell>
          <cell r="E72" t="str">
            <v>Business Unit: 01 GENERAL
Cost Center: 530303 FMS OPERATIONS - SECOND SHIFT
Location: Pittsburgh</v>
          </cell>
          <cell r="F72" t="str">
            <v>03/23/2026 - 04/05/2026  (Biweekly)</v>
          </cell>
          <cell r="G72" t="str">
            <v>Vision - L95 EE</v>
          </cell>
          <cell r="H72" t="str">
            <v>VISL95</v>
          </cell>
          <cell r="I7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2">
            <v>63.8</v>
          </cell>
        </row>
        <row r="73">
          <cell r="C73" t="str">
            <v>dpikula</v>
          </cell>
          <cell r="D73" t="str">
            <v>Carnegie Mellon University</v>
          </cell>
          <cell r="E73" t="str">
            <v>Business Unit: 01 GENERAL
Cost Center: 530302 FMS OPERATIONS - STRUCTURAL SHOP
Location: Pittsburgh</v>
          </cell>
          <cell r="F73" t="str">
            <v>03/23/2026 - 04/05/2026  (Biweekly)</v>
          </cell>
          <cell r="G73" t="str">
            <v>Vision - L95 EE</v>
          </cell>
          <cell r="H73" t="str">
            <v>VISL95</v>
          </cell>
          <cell r="I7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3">
            <v>0</v>
          </cell>
        </row>
        <row r="74">
          <cell r="C74" t="str">
            <v>dennisp</v>
          </cell>
          <cell r="D74" t="str">
            <v>Carnegie Mellon University</v>
          </cell>
          <cell r="E74" t="str">
            <v>Business Unit: 01 GENERAL
Cost Center: 530304 FMS OPERATIONS - GARDENERS
Location: Pittsburgh</v>
          </cell>
          <cell r="F74" t="str">
            <v>03/23/2026 - 04/05/2026  (Biweekly)</v>
          </cell>
          <cell r="G74" t="str">
            <v>Vision - L95 EE</v>
          </cell>
          <cell r="H74" t="str">
            <v>VISL95</v>
          </cell>
          <cell r="I7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4">
            <v>36.11</v>
          </cell>
        </row>
        <row r="75">
          <cell r="C75" t="str">
            <v>dr89</v>
          </cell>
          <cell r="D75" t="str">
            <v>Carnegie Mellon University</v>
          </cell>
          <cell r="E75" t="str">
            <v>Business Unit: 01 GENERAL
Cost Center: 530317 FMS OPERATIONS - WEST CAMPUS
Location: Pittsburgh</v>
          </cell>
          <cell r="F75" t="str">
            <v>03/23/2026 - 04/05/2026  (Biweekly)</v>
          </cell>
          <cell r="G75" t="str">
            <v>Vision - L95 EE</v>
          </cell>
          <cell r="H75" t="str">
            <v>VISL95</v>
          </cell>
          <cell r="I7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5">
            <v>63.8</v>
          </cell>
        </row>
        <row r="76">
          <cell r="C76" t="str">
            <v>rdrr</v>
          </cell>
          <cell r="D76" t="str">
            <v>Carnegie Mellon University</v>
          </cell>
          <cell r="E76" t="str">
            <v>Business Unit: 01 GENERAL
Cost Center: 530302 FMS OPERATIONS - STRUCTURAL SHOP
Location: Pittsburgh</v>
          </cell>
          <cell r="F76" t="str">
            <v>03/23/2026 - 04/05/2026  (Biweekly)</v>
          </cell>
          <cell r="G76" t="str">
            <v>Vision - L95 EE</v>
          </cell>
          <cell r="H76" t="str">
            <v>VISL95</v>
          </cell>
          <cell r="I7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6">
            <v>75.319999999999993</v>
          </cell>
        </row>
        <row r="77">
          <cell r="C77" t="str">
            <v>drobert1</v>
          </cell>
          <cell r="D77" t="str">
            <v>Carnegie Mellon University</v>
          </cell>
          <cell r="E77" t="str">
            <v>Business Unit: 01 GENERAL
Cost Center: 530319 FMS OPERATIONS - EAST ZONE
Location: Pittsburgh</v>
          </cell>
          <cell r="F77" t="str">
            <v>03/23/2026 - 04/05/2026  (Biweekly)</v>
          </cell>
          <cell r="G77" t="str">
            <v>Vision - L95 EE</v>
          </cell>
          <cell r="H77" t="str">
            <v>VISL95</v>
          </cell>
          <cell r="I7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7">
            <v>27.69</v>
          </cell>
        </row>
        <row r="78">
          <cell r="C78" t="str">
            <v>mrock</v>
          </cell>
          <cell r="D78" t="str">
            <v>Carnegie Mellon University</v>
          </cell>
          <cell r="E78" t="str">
            <v>Business Unit: 01 GENERAL
Cost Center: 530319 FMS OPERATIONS - EAST ZONE
Location: Pittsburgh</v>
          </cell>
          <cell r="F78" t="str">
            <v>03/23/2026 - 04/05/2026  (Biweekly)</v>
          </cell>
          <cell r="G78" t="str">
            <v>Vision - L95 EE</v>
          </cell>
          <cell r="H78" t="str">
            <v>VISL95</v>
          </cell>
          <cell r="I7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8">
            <v>0</v>
          </cell>
        </row>
        <row r="79">
          <cell r="C79" t="str">
            <v>bruffing</v>
          </cell>
          <cell r="D79" t="str">
            <v>Carnegie Mellon University</v>
          </cell>
          <cell r="E79" t="str">
            <v>Business Unit: 01 GENERAL
Cost Center: 530305 FMS OPERATIONS - HOUSING MAINTENANCE
Location: Pittsburgh</v>
          </cell>
          <cell r="F79" t="str">
            <v>03/23/2026 - 04/05/2026  (Biweekly)</v>
          </cell>
          <cell r="G79" t="str">
            <v>Vision - L95 EE</v>
          </cell>
          <cell r="H79" t="str">
            <v>VISL95</v>
          </cell>
          <cell r="I7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79">
            <v>75.319999999999993</v>
          </cell>
        </row>
        <row r="80">
          <cell r="C80" t="str">
            <v>rrutten</v>
          </cell>
          <cell r="D80" t="str">
            <v>Carnegie Mellon University</v>
          </cell>
          <cell r="E80" t="str">
            <v>Business Unit: 01 GENERAL
Cost Center: 530301 FMS OPERATIONS - MEP
Location: Pittsburgh</v>
          </cell>
          <cell r="F80" t="str">
            <v>03/23/2026 - 04/05/2026  (Biweekly)</v>
          </cell>
          <cell r="G80" t="str">
            <v>Vision - L95 EE</v>
          </cell>
          <cell r="H80" t="str">
            <v>VISL95</v>
          </cell>
          <cell r="I8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0">
            <v>31.28</v>
          </cell>
        </row>
        <row r="81">
          <cell r="C81" t="str">
            <v>jacobsab</v>
          </cell>
          <cell r="D81" t="str">
            <v>Carnegie Mellon University</v>
          </cell>
          <cell r="E81" t="str">
            <v>Business Unit: 01 GENERAL
Cost Center: 530317 FMS OPERATIONS - WEST CAMPUS
Location: Pittsburgh</v>
          </cell>
          <cell r="F81" t="str">
            <v>03/23/2026 - 04/05/2026  (Biweekly)</v>
          </cell>
          <cell r="G81" t="str">
            <v>Vision - L95 EE</v>
          </cell>
          <cell r="H81" t="str">
            <v>VISL95</v>
          </cell>
          <cell r="I8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1">
            <v>75.319999999999993</v>
          </cell>
        </row>
        <row r="82">
          <cell r="C82" t="str">
            <v>lsams</v>
          </cell>
          <cell r="D82" t="str">
            <v>Carnegie Mellon University</v>
          </cell>
          <cell r="E82" t="str">
            <v>Business Unit: 01 GENERAL
Cost Center: 530308 FMS OPERATIONS - CRAIG ST
Location: Pittsburgh</v>
          </cell>
          <cell r="F82" t="str">
            <v>03/23/2026 - 04/05/2026  (Biweekly)</v>
          </cell>
          <cell r="G82" t="str">
            <v>Vision - L95 EE</v>
          </cell>
          <cell r="H82" t="str">
            <v>VISL95</v>
          </cell>
          <cell r="I8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2">
            <v>31.28</v>
          </cell>
        </row>
        <row r="83">
          <cell r="C83" t="str">
            <v>asantavi</v>
          </cell>
          <cell r="D83" t="str">
            <v>Carnegie Mellon University</v>
          </cell>
          <cell r="E83" t="str">
            <v>Business Unit: 01 GENERAL
Cost Center: 530309 FMS OPERATIONS - FORBES
Location: Pittsburgh</v>
          </cell>
          <cell r="F83" t="str">
            <v>03/23/2026 - 04/05/2026  (Biweekly)</v>
          </cell>
          <cell r="G83" t="str">
            <v>Vision - L95 EE</v>
          </cell>
          <cell r="H83" t="str">
            <v>VISL95</v>
          </cell>
          <cell r="I8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3">
            <v>75.319999999999993</v>
          </cell>
        </row>
        <row r="84">
          <cell r="C84" t="str">
            <v>djs2</v>
          </cell>
          <cell r="D84" t="str">
            <v>Carnegie Mellon University</v>
          </cell>
          <cell r="E84" t="str">
            <v>Business Unit: 01 GENERAL
Cost Center: 530319 FMS OPERATIONS - EAST ZONE
Location: Pittsburgh</v>
          </cell>
          <cell r="F84" t="str">
            <v>03/23/2026 - 04/05/2026  (Biweekly)</v>
          </cell>
          <cell r="G84" t="str">
            <v>Vision - L95 EE</v>
          </cell>
          <cell r="H84" t="str">
            <v>VISL95</v>
          </cell>
          <cell r="I8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4">
            <v>0</v>
          </cell>
        </row>
        <row r="85">
          <cell r="C85" t="str">
            <v>rschaffe</v>
          </cell>
          <cell r="D85" t="str">
            <v>Carnegie Mellon University</v>
          </cell>
          <cell r="E85" t="str">
            <v>Business Unit: 01 GENERAL
Cost Center: 530302 FMS OPERATIONS - STRUCTURAL SHOP
Location: Pittsburgh</v>
          </cell>
          <cell r="F85" t="str">
            <v>03/23/2026 - 04/05/2026  (Biweekly)</v>
          </cell>
          <cell r="G85" t="str">
            <v>Vision - L95 EE</v>
          </cell>
          <cell r="H85" t="str">
            <v>VISL95</v>
          </cell>
          <cell r="I8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5">
            <v>44.88</v>
          </cell>
        </row>
        <row r="86">
          <cell r="C86" t="str">
            <v>katiesch</v>
          </cell>
          <cell r="D86" t="str">
            <v>Carnegie Mellon University</v>
          </cell>
          <cell r="E86" t="str">
            <v>Business Unit: 01 GENERAL
Cost Center: 530304 FMS OPERATIONS - GARDENERS
Location: Pittsburgh</v>
          </cell>
          <cell r="F86" t="str">
            <v>03/23/2026 - 04/05/2026  (Biweekly)</v>
          </cell>
          <cell r="G86" t="str">
            <v>Vision - L95 EE</v>
          </cell>
          <cell r="H86" t="str">
            <v>VISL95</v>
          </cell>
          <cell r="I8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6">
            <v>27.69</v>
          </cell>
        </row>
        <row r="87">
          <cell r="C87" t="str">
            <v>wschwarz</v>
          </cell>
          <cell r="D87" t="str">
            <v>Carnegie Mellon University</v>
          </cell>
          <cell r="E87" t="str">
            <v>Business Unit: 01 GENERAL
Cost Center: 530311 FMS - NEW EMPLOYEE DEV
Location: Pittsburgh</v>
          </cell>
          <cell r="F87" t="str">
            <v>03/23/2026 - 04/05/2026  (Biweekly)</v>
          </cell>
          <cell r="G87" t="str">
            <v>Vision - L95 EE</v>
          </cell>
          <cell r="H87" t="str">
            <v>VISL95</v>
          </cell>
          <cell r="I8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7">
            <v>36.11</v>
          </cell>
        </row>
        <row r="88">
          <cell r="C88" t="str">
            <v>jacobsco</v>
          </cell>
          <cell r="D88" t="str">
            <v>Carnegie Mellon University</v>
          </cell>
          <cell r="E88" t="str">
            <v>Business Unit: 01 GENERAL
Cost Center: 530305 FMS OPERATIONS - HOUSING MAINTENANCE
Location: Pittsburgh</v>
          </cell>
          <cell r="F88" t="str">
            <v>03/23/2026 - 04/05/2026  (Biweekly)</v>
          </cell>
          <cell r="G88" t="str">
            <v>Vision - L95 EE</v>
          </cell>
          <cell r="H88" t="str">
            <v>VISL95</v>
          </cell>
          <cell r="I8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8">
            <v>75.319999999999993</v>
          </cell>
        </row>
        <row r="89">
          <cell r="C89" t="str">
            <v>tseskey</v>
          </cell>
          <cell r="D89" t="str">
            <v>Carnegie Mellon University</v>
          </cell>
          <cell r="E89" t="str">
            <v>Business Unit: 01 GENERAL
Cost Center: 530308 FMS OPERATIONS - CRAIG ST
Location: Pittsburgh</v>
          </cell>
          <cell r="F89" t="str">
            <v>03/23/2026 - 04/05/2026  (Biweekly)</v>
          </cell>
          <cell r="G89" t="str">
            <v>Vision - L95 EE</v>
          </cell>
          <cell r="H89" t="str">
            <v>VISL95</v>
          </cell>
          <cell r="I8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89">
            <v>27.69</v>
          </cell>
        </row>
        <row r="90">
          <cell r="C90" t="str">
            <v>paulsimo</v>
          </cell>
          <cell r="D90" t="str">
            <v>Carnegie Mellon University</v>
          </cell>
          <cell r="E90" t="str">
            <v>Business Unit: 01 GENERAL
Cost Center: 530302 FMS OPERATIONS - STRUCTURAL SHOP
Location: Pittsburgh</v>
          </cell>
          <cell r="F90" t="str">
            <v>03/23/2026 - 04/05/2026  (Biweekly)</v>
          </cell>
          <cell r="G90" t="str">
            <v>Vision - L95 EE</v>
          </cell>
          <cell r="H90" t="str">
            <v>VISL95</v>
          </cell>
          <cell r="I9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0">
            <v>75.319999999999993</v>
          </cell>
        </row>
        <row r="91">
          <cell r="C91" t="str">
            <v>jspochac</v>
          </cell>
          <cell r="D91" t="str">
            <v>Carnegie Mellon University</v>
          </cell>
          <cell r="E91" t="str">
            <v>Business Unit: 01 GENERAL
Cost Center: 530305 FMS OPERATIONS - HOUSING MAINTENANCE
Location: Pittsburgh</v>
          </cell>
          <cell r="F91" t="str">
            <v>03/23/2026 - 04/05/2026  (Biweekly)</v>
          </cell>
          <cell r="G91" t="str">
            <v>Vision - L95 EE</v>
          </cell>
          <cell r="H91" t="str">
            <v>VISL95</v>
          </cell>
          <cell r="I9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1">
            <v>63.8</v>
          </cell>
        </row>
        <row r="92">
          <cell r="C92" t="str">
            <v>fsta</v>
          </cell>
          <cell r="D92" t="str">
            <v>Carnegie Mellon University</v>
          </cell>
          <cell r="E92" t="str">
            <v>Business Unit: 01 GENERAL
Cost Center: 530304 FMS OPERATIONS - GARDENERS
Location: Pittsburgh</v>
          </cell>
          <cell r="F92" t="str">
            <v>03/23/2026 - 04/05/2026  (Biweekly)</v>
          </cell>
          <cell r="G92" t="str">
            <v>Vision - L95 EE</v>
          </cell>
          <cell r="H92" t="str">
            <v>VISL95</v>
          </cell>
          <cell r="I9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2">
            <v>0</v>
          </cell>
        </row>
        <row r="93">
          <cell r="C93" t="str">
            <v>hs1k</v>
          </cell>
          <cell r="D93" t="str">
            <v>Carnegie Mellon University</v>
          </cell>
          <cell r="E93" t="str">
            <v>Business Unit: 01 GENERAL
Cost Center: 530317 FMS OPERATIONS - WEST CAMPUS
Location: Pittsburgh</v>
          </cell>
          <cell r="F93" t="str">
            <v>03/23/2026 - 04/05/2026  (Biweekly)</v>
          </cell>
          <cell r="G93" t="str">
            <v>Vision - L95 EE</v>
          </cell>
          <cell r="H93" t="str">
            <v>VISL95</v>
          </cell>
          <cell r="I9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3">
            <v>63.8</v>
          </cell>
        </row>
        <row r="94">
          <cell r="C94" t="str">
            <v>dstu</v>
          </cell>
          <cell r="D94" t="str">
            <v>Carnegie Mellon University</v>
          </cell>
          <cell r="E94" t="str">
            <v>Business Unit: 01 GENERAL
Cost Center: 530317 FMS OPERATIONS - WEST CAMPUS
Location: Pittsburgh</v>
          </cell>
          <cell r="F94" t="str">
            <v>03/23/2026 - 04/05/2026  (Biweekly)</v>
          </cell>
          <cell r="G94" t="str">
            <v>Vision - L95 EE</v>
          </cell>
          <cell r="H94" t="str">
            <v>VISL95</v>
          </cell>
          <cell r="I9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4">
            <v>36.11</v>
          </cell>
        </row>
        <row r="95">
          <cell r="C95" t="str">
            <v>ms01</v>
          </cell>
          <cell r="D95" t="str">
            <v>Carnegie Mellon University</v>
          </cell>
          <cell r="E95" t="str">
            <v>Business Unit: 01 GENERAL
Cost Center: 530302 FMS OPERATIONS - STRUCTURAL SHOP
Location: Pittsburgh</v>
          </cell>
          <cell r="F95" t="str">
            <v>03/23/2026 - 04/05/2026  (Biweekly)</v>
          </cell>
          <cell r="G95" t="str">
            <v>Vision - L95 EE</v>
          </cell>
          <cell r="H95" t="str">
            <v>VISL95</v>
          </cell>
          <cell r="I9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5">
            <v>0</v>
          </cell>
        </row>
        <row r="96">
          <cell r="C96" t="str">
            <v>bswiech</v>
          </cell>
          <cell r="D96" t="str">
            <v>Carnegie Mellon University</v>
          </cell>
          <cell r="E96" t="str">
            <v>Business Unit: 01 GENERAL
Cost Center: 530301 FMS OPERATIONS - MEP
Location: Pittsburgh</v>
          </cell>
          <cell r="F96" t="str">
            <v>03/23/2026 - 04/05/2026  (Biweekly)</v>
          </cell>
          <cell r="G96" t="str">
            <v>Vision - L95 EE</v>
          </cell>
          <cell r="H96" t="str">
            <v>VISL95</v>
          </cell>
          <cell r="I9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6">
            <v>0</v>
          </cell>
        </row>
        <row r="97">
          <cell r="C97" t="str">
            <v>vtesta</v>
          </cell>
          <cell r="D97" t="str">
            <v>Carnegie Mellon University</v>
          </cell>
          <cell r="E97" t="str">
            <v>Business Unit: 01 GENERAL
Cost Center: 530304 FMS OPERATIONS - GARDENERS
Location: Pittsburgh</v>
          </cell>
          <cell r="F97" t="str">
            <v>03/23/2026 - 04/05/2026  (Biweekly)</v>
          </cell>
          <cell r="G97" t="str">
            <v>Vision - L95 EE</v>
          </cell>
          <cell r="H97" t="str">
            <v>VISL95</v>
          </cell>
          <cell r="I9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7">
            <v>14.7</v>
          </cell>
        </row>
        <row r="98">
          <cell r="C98" t="str">
            <v>btomlins</v>
          </cell>
          <cell r="D98" t="str">
            <v>Carnegie Mellon University</v>
          </cell>
          <cell r="E98" t="str">
            <v>Business Unit: 01 GENERAL
Cost Center: 530308 FMS OPERATIONS - CRAIG ST
Location: Pittsburgh</v>
          </cell>
          <cell r="F98" t="str">
            <v>03/23/2026 - 04/05/2026  (Biweekly)</v>
          </cell>
          <cell r="G98" t="str">
            <v>Vision - L95 EE</v>
          </cell>
          <cell r="H98" t="str">
            <v>VISL95</v>
          </cell>
          <cell r="I9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8">
            <v>93.24</v>
          </cell>
        </row>
        <row r="99">
          <cell r="C99" t="str">
            <v>rvardzel</v>
          </cell>
          <cell r="D99" t="str">
            <v>Carnegie Mellon University</v>
          </cell>
          <cell r="E99" t="str">
            <v>Business Unit: 01 GENERAL
Cost Center: 530305 FMS OPERATIONS - HOUSING MAINTENANCE
Location: Pittsburgh</v>
          </cell>
          <cell r="F99" t="str">
            <v>03/23/2026 - 04/05/2026  (Biweekly)</v>
          </cell>
          <cell r="G99" t="str">
            <v>Vision - L95 EE</v>
          </cell>
          <cell r="H99" t="str">
            <v>VISL95</v>
          </cell>
          <cell r="I99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99">
            <v>0</v>
          </cell>
        </row>
        <row r="100">
          <cell r="C100" t="str">
            <v>tko9</v>
          </cell>
          <cell r="D100" t="str">
            <v>Carnegie Mellon University</v>
          </cell>
          <cell r="E100" t="str">
            <v>Business Unit: 01 GENERAL
Cost Center: 530317 FMS OPERATIONS - WEST CAMPUS
Location: Pittsburgh</v>
          </cell>
          <cell r="F100" t="str">
            <v>03/23/2026 - 04/05/2026  (Biweekly)</v>
          </cell>
          <cell r="G100" t="str">
            <v>Vision - L95 EE</v>
          </cell>
          <cell r="H100" t="str">
            <v>VISL95</v>
          </cell>
          <cell r="I100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0">
            <v>0</v>
          </cell>
        </row>
        <row r="101">
          <cell r="C101" t="str">
            <v>gwwalker</v>
          </cell>
          <cell r="D101" t="str">
            <v>Carnegie Mellon University</v>
          </cell>
          <cell r="E101" t="str">
            <v>Business Unit: 01 GENERAL
Cost Center: 530302 FMS OPERATIONS - STRUCTURAL SHOP
Location: Pittsburgh</v>
          </cell>
          <cell r="F101" t="str">
            <v>03/23/2026 - 04/05/2026  (Biweekly)</v>
          </cell>
          <cell r="G101" t="str">
            <v>Vision - L95 EE</v>
          </cell>
          <cell r="H101" t="str">
            <v>VISL95</v>
          </cell>
          <cell r="I101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1">
            <v>75.319999999999993</v>
          </cell>
        </row>
        <row r="102">
          <cell r="C102" t="str">
            <v>wwaterma</v>
          </cell>
          <cell r="D102" t="str">
            <v>Carnegie Mellon University</v>
          </cell>
          <cell r="E102" t="str">
            <v>Business Unit: 01 GENERAL
Cost Center: 530303 FMS OPERATIONS - SECOND SHIFT
Location: Pittsburgh</v>
          </cell>
          <cell r="F102" t="str">
            <v>03/23/2026 - 04/05/2026  (Biweekly)</v>
          </cell>
          <cell r="G102" t="str">
            <v>Vision - L95 EE</v>
          </cell>
          <cell r="H102" t="str">
            <v>VISL95</v>
          </cell>
          <cell r="I102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2">
            <v>75.319999999999993</v>
          </cell>
        </row>
        <row r="103">
          <cell r="C103" t="str">
            <v>sw4r</v>
          </cell>
          <cell r="D103" t="str">
            <v>Carnegie Mellon University</v>
          </cell>
          <cell r="E103" t="str">
            <v>Business Unit: 01 GENERAL
Cost Center: 530304 FMS OPERATIONS - GARDENERS
Location: Pittsburgh</v>
          </cell>
          <cell r="F103" t="str">
            <v>03/23/2026 - 04/05/2026  (Biweekly)</v>
          </cell>
          <cell r="G103" t="str">
            <v>Vision - L95 EE</v>
          </cell>
          <cell r="H103" t="str">
            <v>VISL95</v>
          </cell>
          <cell r="I103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3">
            <v>0</v>
          </cell>
        </row>
        <row r="104">
          <cell r="C104" t="str">
            <v>rwelling</v>
          </cell>
          <cell r="D104" t="str">
            <v>Carnegie Mellon University</v>
          </cell>
          <cell r="E104" t="str">
            <v>Business Unit: 01 GENERAL
Cost Center: 530303 FMS OPERATIONS - SECOND SHIFT
Location: Pittsburgh</v>
          </cell>
          <cell r="F104" t="str">
            <v>03/23/2026 - 04/05/2026  (Biweekly)</v>
          </cell>
          <cell r="G104" t="str">
            <v>Vision - L95 EE</v>
          </cell>
          <cell r="H104" t="str">
            <v>VISL95</v>
          </cell>
          <cell r="I104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4">
            <v>0</v>
          </cell>
        </row>
        <row r="105">
          <cell r="C105" t="str">
            <v>sbw3</v>
          </cell>
          <cell r="D105" t="str">
            <v>Carnegie Mellon University</v>
          </cell>
          <cell r="E105" t="str">
            <v>Business Unit: 01 GENERAL
Cost Center: 530317 FMS OPERATIONS - WEST CAMPUS
Location: Pittsburgh</v>
          </cell>
          <cell r="F105" t="str">
            <v>03/23/2026 - 04/05/2026  (Biweekly)</v>
          </cell>
          <cell r="G105" t="str">
            <v>Vision - L95 EE</v>
          </cell>
          <cell r="H105" t="str">
            <v>VISL95</v>
          </cell>
          <cell r="I105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5">
            <v>0</v>
          </cell>
        </row>
        <row r="106">
          <cell r="C106" t="str">
            <v>robertwe</v>
          </cell>
          <cell r="D106" t="str">
            <v>Carnegie Mellon University</v>
          </cell>
          <cell r="E106" t="str">
            <v>Business Unit: 01 GENERAL
Cost Center: 530303 FMS OPERATIONS - SECOND SHIFT
Location: Pittsburgh</v>
          </cell>
          <cell r="F106" t="str">
            <v>03/23/2026 - 04/05/2026  (Biweekly)</v>
          </cell>
          <cell r="G106" t="str">
            <v>Vision - L95 EE</v>
          </cell>
          <cell r="H106" t="str">
            <v>VISL95</v>
          </cell>
          <cell r="I106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6">
            <v>36.11</v>
          </cell>
        </row>
        <row r="107">
          <cell r="C107" t="str">
            <v>wwomack</v>
          </cell>
          <cell r="D107" t="str">
            <v>Carnegie Mellon University</v>
          </cell>
          <cell r="E107" t="str">
            <v>Business Unit: 01 GENERAL
Cost Center: 520110 CENTRAL RECEIVING
Location: Pittsburgh</v>
          </cell>
          <cell r="F107" t="str">
            <v>03/23/2026 - 04/05/2026  (Biweekly)</v>
          </cell>
          <cell r="G107" t="str">
            <v>Vision - L95 EE</v>
          </cell>
          <cell r="H107" t="str">
            <v>VISL95</v>
          </cell>
          <cell r="I107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7">
            <v>36.11</v>
          </cell>
        </row>
        <row r="108">
          <cell r="C108" t="str">
            <v>jyuhasz</v>
          </cell>
          <cell r="D108" t="str">
            <v>Carnegie Mellon University</v>
          </cell>
          <cell r="E108" t="str">
            <v>Business Unit: 01 GENERAL
Cost Center: 530303 FMS OPERATIONS - SECOND SHIFT
Location: Pittsburgh</v>
          </cell>
          <cell r="F108" t="str">
            <v>03/23/2026 - 04/05/2026  (Biweekly)</v>
          </cell>
          <cell r="G108" t="str">
            <v>Vision - L95 EE</v>
          </cell>
          <cell r="H108" t="str">
            <v>VISL95</v>
          </cell>
          <cell r="I108" t="str">
            <v>Benefits During FMLA
Benefits During Sick &amp; Accident Leave
Benefits During Workers' Compensation
EC and Ded for Faculty Leave
Pay Components for Leaves
Pay Components to resolve for Off Cycle
Post Tax Deductions</v>
          </cell>
          <cell r="J108">
            <v>113.4</v>
          </cell>
        </row>
        <row r="109">
          <cell r="J109">
            <v>4203.55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3"/>
  <sheetViews>
    <sheetView workbookViewId="0">
      <selection activeCell="D19" sqref="D19"/>
    </sheetView>
  </sheetViews>
  <sheetFormatPr baseColWidth="10" defaultColWidth="8" defaultRowHeight="13" x14ac:dyDescent="0.15"/>
  <cols>
    <col min="1" max="30" width="23.5" customWidth="1"/>
  </cols>
  <sheetData>
    <row r="1" spans="1:30" x14ac:dyDescent="0.1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4" x14ac:dyDescent="0.15">
      <c r="A2" s="4" t="s">
        <v>1</v>
      </c>
      <c r="B2" s="3" t="s">
        <v>2</v>
      </c>
    </row>
    <row r="3" spans="1:30" ht="28" x14ac:dyDescent="0.15">
      <c r="A3" s="4" t="s">
        <v>3</v>
      </c>
      <c r="B3" s="3" t="s">
        <v>4</v>
      </c>
    </row>
    <row r="4" spans="1:30" ht="14" x14ac:dyDescent="0.15">
      <c r="A4" s="4" t="s">
        <v>5</v>
      </c>
      <c r="B4" s="3" t="s">
        <v>6</v>
      </c>
    </row>
    <row r="5" spans="1:30" ht="14" x14ac:dyDescent="0.15">
      <c r="A5" s="4" t="s">
        <v>7</v>
      </c>
      <c r="B5" s="3" t="s">
        <v>8</v>
      </c>
    </row>
    <row r="6" spans="1:30" x14ac:dyDescent="0.15">
      <c r="A6" s="4" t="s">
        <v>9</v>
      </c>
      <c r="B6" s="6" t="s">
        <v>10</v>
      </c>
    </row>
    <row r="7" spans="1:30" x14ac:dyDescent="0.15">
      <c r="A7" s="4" t="s">
        <v>11</v>
      </c>
      <c r="B7" s="3"/>
    </row>
    <row r="8" spans="1:30" x14ac:dyDescent="0.15">
      <c r="A8" s="4" t="s">
        <v>12</v>
      </c>
      <c r="B8" s="3"/>
    </row>
    <row r="9" spans="1:30" x14ac:dyDescent="0.15">
      <c r="A9" s="2"/>
      <c r="B9" s="18"/>
      <c r="C9" s="18"/>
      <c r="D9" s="2"/>
      <c r="E9" s="18"/>
      <c r="F9" s="18"/>
      <c r="G9" s="18"/>
      <c r="H9" s="1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8" t="s">
        <v>13</v>
      </c>
      <c r="AB9" s="18"/>
      <c r="AC9" s="2"/>
      <c r="AD9" s="2"/>
    </row>
    <row r="10" spans="1:30" ht="28" x14ac:dyDescent="0.15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29</v>
      </c>
      <c r="Q10" s="2" t="s">
        <v>30</v>
      </c>
      <c r="R10" s="2" t="s">
        <v>31</v>
      </c>
      <c r="S10" s="2" t="s">
        <v>32</v>
      </c>
      <c r="T10" s="2" t="s">
        <v>33</v>
      </c>
      <c r="U10" s="2" t="s">
        <v>34</v>
      </c>
      <c r="V10" s="2" t="s">
        <v>35</v>
      </c>
      <c r="W10" s="2" t="s">
        <v>36</v>
      </c>
      <c r="X10" s="2" t="s">
        <v>37</v>
      </c>
      <c r="Y10" s="2" t="s">
        <v>38</v>
      </c>
      <c r="Z10" s="2" t="s">
        <v>39</v>
      </c>
      <c r="AA10" s="2" t="s">
        <v>40</v>
      </c>
      <c r="AB10" s="2" t="s">
        <v>41</v>
      </c>
      <c r="AC10" s="2" t="s">
        <v>42</v>
      </c>
      <c r="AD10" s="2" t="s">
        <v>43</v>
      </c>
    </row>
    <row r="11" spans="1:30" ht="28" x14ac:dyDescent="0.15">
      <c r="A11" s="3" t="s">
        <v>44</v>
      </c>
      <c r="B11" s="3" t="s">
        <v>45</v>
      </c>
      <c r="C11" s="3" t="s">
        <v>46</v>
      </c>
      <c r="D11" s="3" t="s">
        <v>47</v>
      </c>
      <c r="E11" s="1">
        <v>45019</v>
      </c>
      <c r="F11" s="1"/>
      <c r="G11" s="7">
        <v>79892.800000000003</v>
      </c>
      <c r="H11" s="7">
        <v>38.409999999999997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50</v>
      </c>
      <c r="Z11" s="7">
        <v>0</v>
      </c>
      <c r="AC11" s="7">
        <v>0</v>
      </c>
      <c r="AD11" s="7">
        <v>0</v>
      </c>
    </row>
    <row r="12" spans="1:30" ht="28" x14ac:dyDescent="0.15">
      <c r="A12" s="3" t="s">
        <v>48</v>
      </c>
      <c r="B12" s="3" t="s">
        <v>49</v>
      </c>
      <c r="C12" s="3" t="s">
        <v>50</v>
      </c>
      <c r="D12" s="3" t="s">
        <v>51</v>
      </c>
      <c r="E12" s="1">
        <v>43542</v>
      </c>
      <c r="F12" s="1"/>
      <c r="G12" s="7">
        <v>87588.800000000003</v>
      </c>
      <c r="H12" s="7">
        <v>42.11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50</v>
      </c>
      <c r="Z12" s="7">
        <v>0</v>
      </c>
      <c r="AC12" s="7">
        <v>0</v>
      </c>
      <c r="AD12" s="7">
        <v>0</v>
      </c>
    </row>
    <row r="13" spans="1:30" ht="28" x14ac:dyDescent="0.15">
      <c r="A13" s="3" t="s">
        <v>52</v>
      </c>
      <c r="B13" s="3" t="s">
        <v>53</v>
      </c>
      <c r="C13" s="3" t="s">
        <v>54</v>
      </c>
      <c r="D13" s="3" t="s">
        <v>55</v>
      </c>
      <c r="E13" s="1">
        <v>42485</v>
      </c>
      <c r="F13" s="1"/>
      <c r="G13" s="7">
        <v>87588.800000000003</v>
      </c>
      <c r="H13" s="7">
        <v>42.11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50</v>
      </c>
      <c r="Z13" s="7">
        <v>0</v>
      </c>
      <c r="AC13" s="7">
        <v>0</v>
      </c>
      <c r="AD13" s="7">
        <v>0</v>
      </c>
    </row>
    <row r="14" spans="1:30" ht="28" x14ac:dyDescent="0.15">
      <c r="A14" s="3" t="s">
        <v>56</v>
      </c>
      <c r="B14" s="3" t="s">
        <v>57</v>
      </c>
      <c r="C14" s="3" t="s">
        <v>58</v>
      </c>
      <c r="D14" s="3" t="s">
        <v>59</v>
      </c>
      <c r="E14" s="1">
        <v>31341</v>
      </c>
      <c r="F14" s="1">
        <v>46033</v>
      </c>
      <c r="G14" s="7">
        <v>93620.800000000003</v>
      </c>
      <c r="H14" s="7">
        <v>45.01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C14" s="7">
        <v>0</v>
      </c>
      <c r="AD14" s="7">
        <v>0</v>
      </c>
    </row>
    <row r="15" spans="1:30" ht="28" x14ac:dyDescent="0.15">
      <c r="A15" s="3" t="s">
        <v>60</v>
      </c>
      <c r="B15" s="3" t="s">
        <v>61</v>
      </c>
      <c r="C15" s="3" t="s">
        <v>62</v>
      </c>
      <c r="D15" s="3" t="s">
        <v>63</v>
      </c>
      <c r="E15" s="1">
        <v>33770</v>
      </c>
      <c r="F15" s="1"/>
      <c r="G15" s="7">
        <v>87588.800000000003</v>
      </c>
      <c r="H15" s="7">
        <v>42.11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50</v>
      </c>
      <c r="Z15" s="7">
        <v>0</v>
      </c>
      <c r="AC15" s="7">
        <v>0</v>
      </c>
      <c r="AD15" s="7">
        <v>0</v>
      </c>
    </row>
    <row r="16" spans="1:30" ht="28" x14ac:dyDescent="0.15">
      <c r="A16" s="3" t="s">
        <v>64</v>
      </c>
      <c r="B16" s="3" t="s">
        <v>65</v>
      </c>
      <c r="C16" s="3" t="s">
        <v>66</v>
      </c>
      <c r="D16" s="3" t="s">
        <v>67</v>
      </c>
      <c r="E16" s="1">
        <v>45929</v>
      </c>
      <c r="F16" s="1"/>
      <c r="G16" s="7">
        <v>68120</v>
      </c>
      <c r="H16" s="7">
        <v>32.75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50</v>
      </c>
      <c r="Z16" s="7">
        <v>0</v>
      </c>
      <c r="AC16" s="7">
        <v>0</v>
      </c>
      <c r="AD16" s="7">
        <v>0</v>
      </c>
    </row>
    <row r="17" spans="1:30" ht="28" x14ac:dyDescent="0.15">
      <c r="A17" s="3" t="s">
        <v>68</v>
      </c>
      <c r="B17" s="3" t="s">
        <v>69</v>
      </c>
      <c r="C17" s="3" t="s">
        <v>70</v>
      </c>
      <c r="D17" s="3" t="s">
        <v>71</v>
      </c>
      <c r="E17" s="1">
        <v>39671</v>
      </c>
      <c r="F17" s="1"/>
      <c r="G17" s="7">
        <v>93620.800000000003</v>
      </c>
      <c r="H17" s="7">
        <v>45.01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50</v>
      </c>
      <c r="Z17" s="7">
        <v>0</v>
      </c>
      <c r="AC17" s="7">
        <v>0</v>
      </c>
      <c r="AD17" s="7">
        <v>0</v>
      </c>
    </row>
    <row r="18" spans="1:30" ht="28" x14ac:dyDescent="0.15">
      <c r="A18" s="3" t="s">
        <v>72</v>
      </c>
      <c r="B18" s="3" t="s">
        <v>73</v>
      </c>
      <c r="C18" s="3" t="s">
        <v>74</v>
      </c>
      <c r="D18" s="3" t="s">
        <v>75</v>
      </c>
      <c r="E18" s="1">
        <v>42135</v>
      </c>
      <c r="F18" s="1"/>
      <c r="G18" s="7">
        <v>78020.800000000003</v>
      </c>
      <c r="H18" s="7">
        <v>37.51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50</v>
      </c>
      <c r="Z18" s="7">
        <v>0</v>
      </c>
      <c r="AC18" s="7">
        <v>0</v>
      </c>
      <c r="AD18" s="7">
        <v>0</v>
      </c>
    </row>
    <row r="19" spans="1:30" ht="28" x14ac:dyDescent="0.15">
      <c r="A19" s="3" t="s">
        <v>76</v>
      </c>
      <c r="B19" s="3" t="s">
        <v>77</v>
      </c>
      <c r="C19" s="3" t="s">
        <v>78</v>
      </c>
      <c r="D19" s="3" t="s">
        <v>79</v>
      </c>
      <c r="E19" s="1">
        <v>44830</v>
      </c>
      <c r="F19" s="1"/>
      <c r="G19" s="7">
        <v>52811.199999999997</v>
      </c>
      <c r="H19" s="7">
        <v>25.39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50</v>
      </c>
      <c r="Z19" s="7">
        <v>0</v>
      </c>
      <c r="AC19" s="7">
        <v>0</v>
      </c>
      <c r="AD19" s="7">
        <v>0</v>
      </c>
    </row>
    <row r="20" spans="1:30" ht="28" x14ac:dyDescent="0.15">
      <c r="A20" s="3" t="s">
        <v>80</v>
      </c>
      <c r="B20" s="3" t="s">
        <v>81</v>
      </c>
      <c r="C20" s="3" t="s">
        <v>82</v>
      </c>
      <c r="D20" s="3" t="s">
        <v>83</v>
      </c>
      <c r="E20" s="1">
        <v>43906</v>
      </c>
      <c r="F20" s="1"/>
      <c r="G20" s="7">
        <v>66331.199999999997</v>
      </c>
      <c r="H20" s="7">
        <v>31.89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50</v>
      </c>
      <c r="Z20" s="7">
        <v>0</v>
      </c>
      <c r="AC20" s="7">
        <v>0</v>
      </c>
      <c r="AD20" s="7">
        <v>0</v>
      </c>
    </row>
    <row r="21" spans="1:30" ht="28" x14ac:dyDescent="0.15">
      <c r="A21" s="3" t="s">
        <v>84</v>
      </c>
      <c r="B21" s="3" t="s">
        <v>85</v>
      </c>
      <c r="C21" s="3" t="s">
        <v>86</v>
      </c>
      <c r="D21" s="3" t="s">
        <v>87</v>
      </c>
      <c r="E21" s="1">
        <v>43500</v>
      </c>
      <c r="F21" s="1"/>
      <c r="G21" s="7">
        <v>87588.800000000003</v>
      </c>
      <c r="H21" s="7">
        <v>42.11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50</v>
      </c>
      <c r="Z21" s="7">
        <v>0</v>
      </c>
      <c r="AC21" s="7">
        <v>0</v>
      </c>
      <c r="AD21" s="7">
        <v>0</v>
      </c>
    </row>
    <row r="22" spans="1:30" ht="28" x14ac:dyDescent="0.15">
      <c r="A22" s="3" t="s">
        <v>88</v>
      </c>
      <c r="B22" s="3" t="s">
        <v>89</v>
      </c>
      <c r="C22" s="3" t="s">
        <v>90</v>
      </c>
      <c r="D22" s="3" t="s">
        <v>91</v>
      </c>
      <c r="E22" s="1">
        <v>43766</v>
      </c>
      <c r="F22" s="1"/>
      <c r="G22" s="7">
        <v>83886.399999999994</v>
      </c>
      <c r="H22" s="7">
        <v>40.33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50</v>
      </c>
      <c r="Z22" s="7">
        <v>0</v>
      </c>
      <c r="AC22" s="7">
        <v>0</v>
      </c>
      <c r="AD22" s="7">
        <v>0</v>
      </c>
    </row>
    <row r="23" spans="1:30" ht="28" x14ac:dyDescent="0.15">
      <c r="A23" s="3" t="s">
        <v>92</v>
      </c>
      <c r="B23" s="3" t="s">
        <v>93</v>
      </c>
      <c r="C23" s="3" t="s">
        <v>94</v>
      </c>
      <c r="D23" s="3" t="s">
        <v>95</v>
      </c>
      <c r="E23" s="1">
        <v>45943</v>
      </c>
      <c r="F23" s="1"/>
      <c r="G23" s="7">
        <v>78020.800000000003</v>
      </c>
      <c r="H23" s="7">
        <v>37.51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50</v>
      </c>
      <c r="Z23" s="7">
        <v>0</v>
      </c>
      <c r="AC23" s="7">
        <v>0</v>
      </c>
      <c r="AD23" s="7">
        <v>0</v>
      </c>
    </row>
    <row r="24" spans="1:30" ht="28" x14ac:dyDescent="0.15">
      <c r="A24" s="3" t="s">
        <v>96</v>
      </c>
      <c r="B24" s="3" t="s">
        <v>97</v>
      </c>
      <c r="C24" s="3" t="s">
        <v>98</v>
      </c>
      <c r="D24" s="3" t="s">
        <v>99</v>
      </c>
      <c r="E24" s="1">
        <v>45670</v>
      </c>
      <c r="F24" s="1">
        <v>45864</v>
      </c>
      <c r="G24" s="7">
        <v>52811.199999999997</v>
      </c>
      <c r="H24" s="7">
        <v>25.39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C24" s="7">
        <v>0</v>
      </c>
      <c r="AD24" s="7">
        <v>0</v>
      </c>
    </row>
    <row r="25" spans="1:30" ht="28" x14ac:dyDescent="0.15">
      <c r="A25" s="3" t="s">
        <v>100</v>
      </c>
      <c r="B25" s="3" t="s">
        <v>101</v>
      </c>
      <c r="C25" s="3" t="s">
        <v>102</v>
      </c>
      <c r="D25" s="3" t="s">
        <v>103</v>
      </c>
      <c r="E25" s="1">
        <v>39538</v>
      </c>
      <c r="F25" s="1"/>
      <c r="G25" s="7">
        <v>52811.199999999997</v>
      </c>
      <c r="H25" s="7">
        <v>25.39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50</v>
      </c>
      <c r="Z25" s="7">
        <v>0</v>
      </c>
      <c r="AC25" s="7">
        <v>0</v>
      </c>
      <c r="AD25" s="7">
        <v>0</v>
      </c>
    </row>
    <row r="26" spans="1:30" ht="28" x14ac:dyDescent="0.15">
      <c r="A26" s="3" t="s">
        <v>104</v>
      </c>
      <c r="B26" s="3" t="s">
        <v>105</v>
      </c>
      <c r="C26" s="3" t="s">
        <v>106</v>
      </c>
      <c r="D26" s="3" t="s">
        <v>107</v>
      </c>
      <c r="E26" s="1">
        <v>43682</v>
      </c>
      <c r="F26" s="1"/>
      <c r="G26" s="7">
        <v>56908.800000000003</v>
      </c>
      <c r="H26" s="7">
        <v>27.36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50</v>
      </c>
      <c r="Z26" s="7">
        <v>0</v>
      </c>
      <c r="AC26" s="7">
        <v>0</v>
      </c>
      <c r="AD26" s="7">
        <v>0</v>
      </c>
    </row>
    <row r="27" spans="1:30" ht="28" x14ac:dyDescent="0.15">
      <c r="A27" s="3" t="s">
        <v>108</v>
      </c>
      <c r="B27" s="3" t="s">
        <v>109</v>
      </c>
      <c r="C27" s="3" t="s">
        <v>110</v>
      </c>
      <c r="D27" s="3" t="s">
        <v>111</v>
      </c>
      <c r="E27" s="1">
        <v>46090</v>
      </c>
      <c r="F27" s="1"/>
      <c r="G27" s="7">
        <v>52811.199999999997</v>
      </c>
      <c r="H27" s="7">
        <v>25.39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50</v>
      </c>
      <c r="Z27" s="7">
        <v>7.65</v>
      </c>
      <c r="AC27" s="7">
        <v>0</v>
      </c>
      <c r="AD27" s="7">
        <v>0</v>
      </c>
    </row>
    <row r="28" spans="1:30" ht="28" x14ac:dyDescent="0.15">
      <c r="A28" s="3" t="s">
        <v>112</v>
      </c>
      <c r="B28" s="3" t="s">
        <v>113</v>
      </c>
      <c r="C28" s="3" t="s">
        <v>114</v>
      </c>
      <c r="D28" s="3" t="s">
        <v>115</v>
      </c>
      <c r="E28" s="1">
        <v>44634</v>
      </c>
      <c r="F28" s="1"/>
      <c r="G28" s="7">
        <v>68120</v>
      </c>
      <c r="H28" s="7">
        <v>32.75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50</v>
      </c>
      <c r="Z28" s="7">
        <v>0</v>
      </c>
      <c r="AC28" s="7">
        <v>0</v>
      </c>
      <c r="AD28" s="7">
        <v>0</v>
      </c>
    </row>
    <row r="29" spans="1:30" ht="28" x14ac:dyDescent="0.15">
      <c r="A29" s="3" t="s">
        <v>116</v>
      </c>
      <c r="B29" s="3" t="s">
        <v>117</v>
      </c>
      <c r="C29" s="3" t="s">
        <v>118</v>
      </c>
      <c r="D29" s="3" t="s">
        <v>119</v>
      </c>
      <c r="E29" s="1">
        <v>41211</v>
      </c>
      <c r="F29" s="1"/>
      <c r="G29" s="7">
        <v>83886.399999999994</v>
      </c>
      <c r="H29" s="7">
        <v>40.33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50</v>
      </c>
      <c r="Z29" s="7">
        <v>0</v>
      </c>
      <c r="AC29" s="7">
        <v>0</v>
      </c>
      <c r="AD29" s="7">
        <v>0</v>
      </c>
    </row>
    <row r="30" spans="1:30" ht="28" x14ac:dyDescent="0.15">
      <c r="A30" s="3" t="s">
        <v>120</v>
      </c>
      <c r="B30" s="3" t="s">
        <v>121</v>
      </c>
      <c r="C30" s="3" t="s">
        <v>122</v>
      </c>
      <c r="D30" s="3" t="s">
        <v>123</v>
      </c>
      <c r="E30" s="1">
        <v>45090</v>
      </c>
      <c r="F30" s="1"/>
      <c r="G30" s="7">
        <v>63523.199999999997</v>
      </c>
      <c r="H30" s="7">
        <v>30.54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50</v>
      </c>
      <c r="Z30" s="7">
        <v>0</v>
      </c>
      <c r="AC30" s="7">
        <v>0</v>
      </c>
      <c r="AD30" s="7">
        <v>0</v>
      </c>
    </row>
    <row r="31" spans="1:30" ht="42" x14ac:dyDescent="0.15">
      <c r="A31" s="3" t="s">
        <v>124</v>
      </c>
      <c r="B31" s="3" t="s">
        <v>125</v>
      </c>
      <c r="C31" s="3" t="s">
        <v>126</v>
      </c>
      <c r="D31" s="3" t="s">
        <v>127</v>
      </c>
      <c r="E31" s="1">
        <v>45950</v>
      </c>
      <c r="F31" s="1"/>
      <c r="G31" s="7">
        <v>52145.599999999999</v>
      </c>
      <c r="H31" s="7">
        <v>25.07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50</v>
      </c>
      <c r="Z31" s="7">
        <v>0</v>
      </c>
      <c r="AC31" s="7">
        <v>0</v>
      </c>
      <c r="AD31" s="7">
        <v>0</v>
      </c>
    </row>
    <row r="32" spans="1:30" ht="42" x14ac:dyDescent="0.15">
      <c r="A32" s="3" t="s">
        <v>128</v>
      </c>
      <c r="B32" s="3" t="s">
        <v>129</v>
      </c>
      <c r="C32" s="3" t="s">
        <v>130</v>
      </c>
      <c r="D32" s="3" t="s">
        <v>131</v>
      </c>
      <c r="E32" s="1">
        <v>45313</v>
      </c>
      <c r="F32" s="1"/>
      <c r="G32" s="7">
        <v>52145.599999999999</v>
      </c>
      <c r="H32" s="7">
        <v>25.07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50</v>
      </c>
      <c r="Z32" s="7">
        <v>8.07</v>
      </c>
      <c r="AC32" s="7">
        <v>0</v>
      </c>
      <c r="AD32" s="7">
        <v>0</v>
      </c>
    </row>
    <row r="33" spans="1:30" ht="28" x14ac:dyDescent="0.15">
      <c r="A33" s="3" t="s">
        <v>132</v>
      </c>
      <c r="B33" s="3" t="s">
        <v>133</v>
      </c>
      <c r="C33" s="3" t="s">
        <v>134</v>
      </c>
      <c r="D33" s="3" t="s">
        <v>135</v>
      </c>
      <c r="E33" s="1">
        <v>41197</v>
      </c>
      <c r="F33" s="1">
        <v>46052</v>
      </c>
      <c r="G33" s="7">
        <v>91312</v>
      </c>
      <c r="H33" s="7">
        <v>43.9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C33" s="7">
        <v>0</v>
      </c>
      <c r="AD33" s="7">
        <v>0</v>
      </c>
    </row>
    <row r="34" spans="1:30" ht="28" x14ac:dyDescent="0.15">
      <c r="A34" s="3" t="s">
        <v>136</v>
      </c>
      <c r="B34" s="3" t="s">
        <v>137</v>
      </c>
      <c r="C34" s="3" t="s">
        <v>138</v>
      </c>
      <c r="D34" s="3" t="s">
        <v>139</v>
      </c>
      <c r="E34" s="1">
        <v>43892</v>
      </c>
      <c r="F34" s="1"/>
      <c r="G34" s="7">
        <v>68972.800000000003</v>
      </c>
      <c r="H34" s="7">
        <v>33.159999999999997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50</v>
      </c>
      <c r="Z34" s="7">
        <v>0</v>
      </c>
      <c r="AC34" s="7">
        <v>0</v>
      </c>
      <c r="AD34" s="7">
        <v>0</v>
      </c>
    </row>
    <row r="35" spans="1:30" ht="28" x14ac:dyDescent="0.15">
      <c r="A35" s="3" t="s">
        <v>140</v>
      </c>
      <c r="B35" s="3" t="s">
        <v>141</v>
      </c>
      <c r="C35" s="3" t="s">
        <v>142</v>
      </c>
      <c r="D35" s="3" t="s">
        <v>143</v>
      </c>
      <c r="E35" s="1">
        <v>44949</v>
      </c>
      <c r="F35" s="1"/>
      <c r="G35" s="7">
        <v>52811.199999999997</v>
      </c>
      <c r="H35" s="7">
        <v>25.39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50</v>
      </c>
      <c r="Z35" s="7">
        <v>0</v>
      </c>
      <c r="AC35" s="7">
        <v>0</v>
      </c>
      <c r="AD35" s="7">
        <v>0</v>
      </c>
    </row>
    <row r="36" spans="1:30" ht="28" x14ac:dyDescent="0.15">
      <c r="A36" s="3" t="s">
        <v>144</v>
      </c>
      <c r="B36" s="3" t="s">
        <v>145</v>
      </c>
      <c r="C36" s="3" t="s">
        <v>146</v>
      </c>
      <c r="D36" s="3" t="s">
        <v>147</v>
      </c>
      <c r="E36" s="1">
        <v>38184</v>
      </c>
      <c r="F36" s="1"/>
      <c r="G36" s="7">
        <v>83449.600000000006</v>
      </c>
      <c r="H36" s="7">
        <v>40.119999999999997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50</v>
      </c>
      <c r="Z36" s="7">
        <v>0</v>
      </c>
      <c r="AC36" s="7">
        <v>0</v>
      </c>
      <c r="AD36" s="7">
        <v>0</v>
      </c>
    </row>
    <row r="37" spans="1:30" ht="28" x14ac:dyDescent="0.15">
      <c r="A37" s="3" t="s">
        <v>148</v>
      </c>
      <c r="B37" s="3" t="s">
        <v>149</v>
      </c>
      <c r="C37" s="3" t="s">
        <v>150</v>
      </c>
      <c r="D37" s="3" t="s">
        <v>151</v>
      </c>
      <c r="E37" s="1">
        <v>39475</v>
      </c>
      <c r="F37" s="1"/>
      <c r="G37" s="7">
        <v>63523.199999999997</v>
      </c>
      <c r="H37" s="7">
        <v>30.54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50</v>
      </c>
      <c r="Z37" s="7">
        <v>0</v>
      </c>
      <c r="AC37" s="7">
        <v>0</v>
      </c>
      <c r="AD37" s="7">
        <v>0</v>
      </c>
    </row>
    <row r="38" spans="1:30" ht="28" x14ac:dyDescent="0.15">
      <c r="A38" s="3" t="s">
        <v>152</v>
      </c>
      <c r="B38" s="3" t="s">
        <v>153</v>
      </c>
      <c r="C38" s="3" t="s">
        <v>154</v>
      </c>
      <c r="D38" s="3" t="s">
        <v>155</v>
      </c>
      <c r="E38" s="1">
        <v>45761</v>
      </c>
      <c r="F38" s="1"/>
      <c r="G38" s="7">
        <v>52811.199999999997</v>
      </c>
      <c r="H38" s="7">
        <v>25.39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50</v>
      </c>
      <c r="Z38" s="7">
        <v>0</v>
      </c>
      <c r="AC38" s="7">
        <v>0</v>
      </c>
      <c r="AD38" s="7">
        <v>0</v>
      </c>
    </row>
    <row r="39" spans="1:30" ht="28" x14ac:dyDescent="0.15">
      <c r="A39" s="3" t="s">
        <v>156</v>
      </c>
      <c r="B39" s="3" t="s">
        <v>157</v>
      </c>
      <c r="C39" s="3" t="s">
        <v>158</v>
      </c>
      <c r="D39" s="3" t="s">
        <v>159</v>
      </c>
      <c r="E39" s="1">
        <v>37389</v>
      </c>
      <c r="F39" s="1"/>
      <c r="G39" s="7">
        <v>89190.399999999994</v>
      </c>
      <c r="H39" s="7">
        <v>42.88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50</v>
      </c>
      <c r="Z39" s="7">
        <v>0</v>
      </c>
      <c r="AC39" s="7">
        <v>0</v>
      </c>
      <c r="AD39" s="7">
        <v>0</v>
      </c>
    </row>
    <row r="40" spans="1:30" ht="28" x14ac:dyDescent="0.15">
      <c r="A40" s="3" t="s">
        <v>160</v>
      </c>
      <c r="B40" s="3" t="s">
        <v>161</v>
      </c>
      <c r="C40" s="3" t="s">
        <v>162</v>
      </c>
      <c r="D40" s="3" t="s">
        <v>163</v>
      </c>
      <c r="E40" s="1">
        <v>38229</v>
      </c>
      <c r="F40" s="1">
        <v>46115</v>
      </c>
      <c r="G40" s="7">
        <v>91312</v>
      </c>
      <c r="H40" s="7">
        <v>43.9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99.41</v>
      </c>
      <c r="Z40" s="7">
        <v>0</v>
      </c>
      <c r="AC40" s="7">
        <v>0</v>
      </c>
      <c r="AD40" s="7">
        <v>0</v>
      </c>
    </row>
    <row r="41" spans="1:30" ht="28" x14ac:dyDescent="0.15">
      <c r="A41" s="3" t="s">
        <v>164</v>
      </c>
      <c r="B41" s="3" t="s">
        <v>165</v>
      </c>
      <c r="C41" s="3" t="s">
        <v>166</v>
      </c>
      <c r="D41" s="3" t="s">
        <v>167</v>
      </c>
      <c r="E41" s="1">
        <v>45768</v>
      </c>
      <c r="F41" s="1"/>
      <c r="G41" s="7">
        <v>79892.800000000003</v>
      </c>
      <c r="H41" s="7">
        <v>38.409999999999997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50</v>
      </c>
      <c r="Z41" s="7">
        <v>0</v>
      </c>
      <c r="AC41" s="7">
        <v>0</v>
      </c>
      <c r="AD41" s="7">
        <v>0</v>
      </c>
    </row>
    <row r="42" spans="1:30" ht="28" x14ac:dyDescent="0.15">
      <c r="A42" s="3" t="s">
        <v>168</v>
      </c>
      <c r="B42" s="3" t="s">
        <v>169</v>
      </c>
      <c r="C42" s="3" t="s">
        <v>170</v>
      </c>
      <c r="D42" s="3" t="s">
        <v>171</v>
      </c>
      <c r="E42" s="1">
        <v>36836</v>
      </c>
      <c r="F42" s="1"/>
      <c r="G42" s="7">
        <v>93620.800000000003</v>
      </c>
      <c r="H42" s="7">
        <v>45.01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50</v>
      </c>
      <c r="Z42" s="7">
        <v>0</v>
      </c>
      <c r="AC42" s="7">
        <v>0</v>
      </c>
      <c r="AD42" s="7">
        <v>0</v>
      </c>
    </row>
    <row r="43" spans="1:30" ht="28" x14ac:dyDescent="0.15">
      <c r="A43" s="3" t="s">
        <v>172</v>
      </c>
      <c r="B43" s="3" t="s">
        <v>173</v>
      </c>
      <c r="C43" s="3" t="s">
        <v>174</v>
      </c>
      <c r="D43" s="3" t="s">
        <v>175</v>
      </c>
      <c r="E43" s="1">
        <v>44620</v>
      </c>
      <c r="F43" s="1"/>
      <c r="G43" s="7">
        <v>52811.199999999997</v>
      </c>
      <c r="H43" s="7">
        <v>25.39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50</v>
      </c>
      <c r="Z43" s="7">
        <v>0</v>
      </c>
      <c r="AC43" s="7">
        <v>0</v>
      </c>
      <c r="AD43" s="7">
        <v>0</v>
      </c>
    </row>
    <row r="44" spans="1:30" ht="28" x14ac:dyDescent="0.15">
      <c r="A44" s="3" t="s">
        <v>176</v>
      </c>
      <c r="B44" s="3" t="s">
        <v>177</v>
      </c>
      <c r="C44" s="3" t="s">
        <v>178</v>
      </c>
      <c r="D44" s="3" t="s">
        <v>179</v>
      </c>
      <c r="E44" s="1">
        <v>45236</v>
      </c>
      <c r="F44" s="1"/>
      <c r="G44" s="7">
        <v>79892.800000000003</v>
      </c>
      <c r="H44" s="7">
        <v>38.409999999999997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50</v>
      </c>
      <c r="Z44" s="7">
        <v>0</v>
      </c>
      <c r="AC44" s="7">
        <v>0</v>
      </c>
      <c r="AD44" s="7">
        <v>0</v>
      </c>
    </row>
    <row r="45" spans="1:30" ht="28" x14ac:dyDescent="0.15">
      <c r="A45" s="3" t="s">
        <v>180</v>
      </c>
      <c r="B45" s="3" t="s">
        <v>181</v>
      </c>
      <c r="C45" s="3" t="s">
        <v>182</v>
      </c>
      <c r="D45" s="3" t="s">
        <v>183</v>
      </c>
      <c r="E45" s="1">
        <v>37648</v>
      </c>
      <c r="F45" s="1"/>
      <c r="G45" s="7">
        <v>83886.399999999994</v>
      </c>
      <c r="H45" s="7">
        <v>40.33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C45" s="7">
        <v>0</v>
      </c>
      <c r="AD45" s="7">
        <v>0</v>
      </c>
    </row>
    <row r="46" spans="1:30" ht="28" x14ac:dyDescent="0.15">
      <c r="A46" s="3" t="s">
        <v>184</v>
      </c>
      <c r="B46" s="3" t="s">
        <v>185</v>
      </c>
      <c r="C46" s="3" t="s">
        <v>186</v>
      </c>
      <c r="D46" s="3" t="s">
        <v>187</v>
      </c>
      <c r="E46" s="1">
        <v>42661</v>
      </c>
      <c r="F46" s="1"/>
      <c r="G46" s="7">
        <v>52811.199999999997</v>
      </c>
      <c r="H46" s="7">
        <v>25.39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50</v>
      </c>
      <c r="Z46" s="7">
        <v>0</v>
      </c>
      <c r="AC46" s="7">
        <v>0</v>
      </c>
      <c r="AD46" s="7">
        <v>0</v>
      </c>
    </row>
    <row r="47" spans="1:30" ht="28" x14ac:dyDescent="0.15">
      <c r="A47" s="3" t="s">
        <v>188</v>
      </c>
      <c r="B47" s="3" t="s">
        <v>189</v>
      </c>
      <c r="C47" s="3" t="s">
        <v>190</v>
      </c>
      <c r="D47" s="3" t="s">
        <v>191</v>
      </c>
      <c r="E47" s="1">
        <v>34540</v>
      </c>
      <c r="F47" s="1"/>
      <c r="G47" s="7">
        <v>83886.399999999994</v>
      </c>
      <c r="H47" s="7">
        <v>40.33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50</v>
      </c>
      <c r="Z47" s="7">
        <v>0</v>
      </c>
      <c r="AC47" s="7">
        <v>0</v>
      </c>
      <c r="AD47" s="7">
        <v>0</v>
      </c>
    </row>
    <row r="48" spans="1:30" ht="28" x14ac:dyDescent="0.15">
      <c r="A48" s="3" t="s">
        <v>192</v>
      </c>
      <c r="B48" s="3" t="s">
        <v>193</v>
      </c>
      <c r="C48" s="3" t="s">
        <v>194</v>
      </c>
      <c r="D48" s="3" t="s">
        <v>195</v>
      </c>
      <c r="E48" s="1">
        <v>46111</v>
      </c>
      <c r="F48" s="1"/>
      <c r="G48" s="7">
        <v>78020.800000000003</v>
      </c>
      <c r="H48" s="7">
        <v>37.51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50</v>
      </c>
      <c r="Z48" s="7">
        <v>0</v>
      </c>
      <c r="AC48" s="7">
        <v>0</v>
      </c>
      <c r="AD48" s="7">
        <v>0</v>
      </c>
    </row>
    <row r="49" spans="1:30" ht="28" x14ac:dyDescent="0.15">
      <c r="A49" s="3" t="s">
        <v>196</v>
      </c>
      <c r="B49" s="3" t="s">
        <v>197</v>
      </c>
      <c r="C49" s="3" t="s">
        <v>198</v>
      </c>
      <c r="D49" s="3" t="s">
        <v>199</v>
      </c>
      <c r="E49" s="1">
        <v>41890</v>
      </c>
      <c r="F49" s="1"/>
      <c r="G49" s="7">
        <v>87588.800000000003</v>
      </c>
      <c r="H49" s="7">
        <v>42.11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50</v>
      </c>
      <c r="Z49" s="7">
        <v>0</v>
      </c>
      <c r="AC49" s="7">
        <v>0</v>
      </c>
      <c r="AD49" s="7">
        <v>0</v>
      </c>
    </row>
    <row r="50" spans="1:30" ht="28" x14ac:dyDescent="0.15">
      <c r="A50" s="3" t="s">
        <v>200</v>
      </c>
      <c r="B50" s="3" t="s">
        <v>201</v>
      </c>
      <c r="C50" s="3" t="s">
        <v>202</v>
      </c>
      <c r="D50" s="3" t="s">
        <v>203</v>
      </c>
      <c r="E50" s="1">
        <v>42842</v>
      </c>
      <c r="F50" s="1"/>
      <c r="G50" s="7">
        <v>87588.800000000003</v>
      </c>
      <c r="H50" s="7">
        <v>42.11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50</v>
      </c>
      <c r="Z50" s="7">
        <v>0</v>
      </c>
      <c r="AC50" s="7">
        <v>0</v>
      </c>
      <c r="AD50" s="7">
        <v>0</v>
      </c>
    </row>
    <row r="51" spans="1:30" ht="28" x14ac:dyDescent="0.15">
      <c r="A51" s="3" t="s">
        <v>204</v>
      </c>
      <c r="B51" s="3" t="s">
        <v>205</v>
      </c>
      <c r="C51" s="3" t="s">
        <v>206</v>
      </c>
      <c r="D51" s="3" t="s">
        <v>207</v>
      </c>
      <c r="E51" s="1">
        <v>39064</v>
      </c>
      <c r="F51" s="1"/>
      <c r="G51" s="7">
        <v>63523.199999999997</v>
      </c>
      <c r="H51" s="7">
        <v>30.54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50</v>
      </c>
      <c r="Z51" s="7">
        <v>0</v>
      </c>
      <c r="AC51" s="7">
        <v>0</v>
      </c>
      <c r="AD51" s="7">
        <v>0</v>
      </c>
    </row>
    <row r="52" spans="1:30" ht="28" x14ac:dyDescent="0.15">
      <c r="A52" s="3" t="s">
        <v>208</v>
      </c>
      <c r="B52" s="3" t="s">
        <v>209</v>
      </c>
      <c r="C52" s="3" t="s">
        <v>210</v>
      </c>
      <c r="D52" s="3" t="s">
        <v>211</v>
      </c>
      <c r="E52" s="1">
        <v>43563</v>
      </c>
      <c r="F52" s="1"/>
      <c r="G52" s="7">
        <v>71718.399999999994</v>
      </c>
      <c r="H52" s="7">
        <v>34.479999999999997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50</v>
      </c>
      <c r="Z52" s="7">
        <v>0</v>
      </c>
      <c r="AC52" s="7">
        <v>0</v>
      </c>
      <c r="AD52" s="7">
        <v>0</v>
      </c>
    </row>
    <row r="53" spans="1:30" ht="28" x14ac:dyDescent="0.15">
      <c r="A53" s="3" t="s">
        <v>212</v>
      </c>
      <c r="B53" s="3" t="s">
        <v>213</v>
      </c>
      <c r="C53" s="3" t="s">
        <v>214</v>
      </c>
      <c r="D53" s="3" t="s">
        <v>215</v>
      </c>
      <c r="E53" s="1">
        <v>40518</v>
      </c>
      <c r="F53" s="1"/>
      <c r="G53" s="7">
        <v>93620.800000000003</v>
      </c>
      <c r="H53" s="7">
        <v>45.01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50</v>
      </c>
      <c r="Z53" s="7">
        <v>0</v>
      </c>
      <c r="AC53" s="7">
        <v>0</v>
      </c>
      <c r="AD53" s="7">
        <v>0</v>
      </c>
    </row>
    <row r="54" spans="1:30" ht="28" x14ac:dyDescent="0.15">
      <c r="A54" s="3" t="s">
        <v>216</v>
      </c>
      <c r="B54" s="3" t="s">
        <v>217</v>
      </c>
      <c r="C54" s="3" t="s">
        <v>218</v>
      </c>
      <c r="D54" s="3" t="s">
        <v>219</v>
      </c>
      <c r="E54" s="1">
        <v>37855</v>
      </c>
      <c r="F54" s="1"/>
      <c r="G54" s="7">
        <v>83886.399999999994</v>
      </c>
      <c r="H54" s="7">
        <v>40.33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50</v>
      </c>
      <c r="Z54" s="7">
        <v>0</v>
      </c>
      <c r="AC54" s="7">
        <v>0</v>
      </c>
      <c r="AD54" s="7">
        <v>0</v>
      </c>
    </row>
    <row r="55" spans="1:30" ht="28" x14ac:dyDescent="0.15">
      <c r="A55" s="3" t="s">
        <v>220</v>
      </c>
      <c r="B55" s="3" t="s">
        <v>221</v>
      </c>
      <c r="C55" s="3" t="s">
        <v>222</v>
      </c>
      <c r="D55" s="3" t="s">
        <v>223</v>
      </c>
      <c r="E55" s="1">
        <v>42870</v>
      </c>
      <c r="F55" s="1"/>
      <c r="G55" s="7">
        <v>56908.800000000003</v>
      </c>
      <c r="H55" s="7">
        <v>27.36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50</v>
      </c>
      <c r="Z55" s="7">
        <v>0</v>
      </c>
      <c r="AC55" s="7">
        <v>0</v>
      </c>
      <c r="AD55" s="7">
        <v>0</v>
      </c>
    </row>
    <row r="56" spans="1:30" ht="28" x14ac:dyDescent="0.15">
      <c r="A56" s="3" t="s">
        <v>224</v>
      </c>
      <c r="B56" s="3" t="s">
        <v>225</v>
      </c>
      <c r="C56" s="3" t="s">
        <v>226</v>
      </c>
      <c r="D56" s="3" t="s">
        <v>227</v>
      </c>
      <c r="E56" s="1">
        <v>45915</v>
      </c>
      <c r="F56" s="1"/>
      <c r="G56" s="7">
        <v>78020.800000000003</v>
      </c>
      <c r="H56" s="7">
        <v>37.51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50</v>
      </c>
      <c r="Z56" s="7">
        <v>0</v>
      </c>
      <c r="AC56" s="7">
        <v>0</v>
      </c>
      <c r="AD56" s="7">
        <v>0</v>
      </c>
    </row>
    <row r="57" spans="1:30" ht="28" x14ac:dyDescent="0.15">
      <c r="A57" s="3" t="s">
        <v>228</v>
      </c>
      <c r="B57" s="3" t="s">
        <v>229</v>
      </c>
      <c r="C57" s="3" t="s">
        <v>230</v>
      </c>
      <c r="D57" s="3" t="s">
        <v>231</v>
      </c>
      <c r="E57" s="1">
        <v>30560</v>
      </c>
      <c r="F57" s="1"/>
      <c r="G57" s="7">
        <v>87588.800000000003</v>
      </c>
      <c r="H57" s="7">
        <v>42.11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50</v>
      </c>
      <c r="Z57" s="7">
        <v>0</v>
      </c>
      <c r="AC57" s="7">
        <v>0</v>
      </c>
      <c r="AD57" s="7">
        <v>0</v>
      </c>
    </row>
    <row r="58" spans="1:30" ht="28" x14ac:dyDescent="0.15">
      <c r="A58" s="3" t="s">
        <v>232</v>
      </c>
      <c r="B58" s="3" t="s">
        <v>233</v>
      </c>
      <c r="C58" s="3" t="s">
        <v>234</v>
      </c>
      <c r="D58" s="3" t="s">
        <v>235</v>
      </c>
      <c r="E58" s="1">
        <v>45614</v>
      </c>
      <c r="F58" s="1"/>
      <c r="G58" s="7">
        <v>78020.800000000003</v>
      </c>
      <c r="H58" s="7">
        <v>37.51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50</v>
      </c>
      <c r="Z58" s="7">
        <v>0</v>
      </c>
      <c r="AC58" s="7">
        <v>0</v>
      </c>
      <c r="AD58" s="7">
        <v>0</v>
      </c>
    </row>
    <row r="59" spans="1:30" ht="28" x14ac:dyDescent="0.15">
      <c r="A59" s="3" t="s">
        <v>236</v>
      </c>
      <c r="B59" s="3" t="s">
        <v>237</v>
      </c>
      <c r="C59" s="3" t="s">
        <v>238</v>
      </c>
      <c r="D59" s="3" t="s">
        <v>239</v>
      </c>
      <c r="E59" s="1">
        <v>45222</v>
      </c>
      <c r="F59" s="1"/>
      <c r="G59" s="7">
        <v>52811.199999999997</v>
      </c>
      <c r="H59" s="7">
        <v>25.39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50</v>
      </c>
      <c r="Z59" s="7">
        <v>0</v>
      </c>
      <c r="AC59" s="7">
        <v>0</v>
      </c>
      <c r="AD59" s="7">
        <v>0</v>
      </c>
    </row>
    <row r="60" spans="1:30" ht="28" x14ac:dyDescent="0.15">
      <c r="A60" s="3" t="s">
        <v>240</v>
      </c>
      <c r="B60" s="3" t="s">
        <v>241</v>
      </c>
      <c r="C60" s="3" t="s">
        <v>242</v>
      </c>
      <c r="D60" s="3" t="s">
        <v>243</v>
      </c>
      <c r="E60" s="1">
        <v>45460</v>
      </c>
      <c r="F60" s="1"/>
      <c r="G60" s="7">
        <v>83886.399999999994</v>
      </c>
      <c r="H60" s="7">
        <v>40.33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50</v>
      </c>
      <c r="Z60" s="7">
        <v>0</v>
      </c>
      <c r="AC60" s="7">
        <v>0</v>
      </c>
      <c r="AD60" s="7">
        <v>0</v>
      </c>
    </row>
    <row r="61" spans="1:30" ht="28" x14ac:dyDescent="0.15">
      <c r="A61" s="3" t="s">
        <v>244</v>
      </c>
      <c r="B61" s="3" t="s">
        <v>245</v>
      </c>
      <c r="C61" s="3" t="s">
        <v>246</v>
      </c>
      <c r="D61" s="3" t="s">
        <v>247</v>
      </c>
      <c r="E61" s="1">
        <v>41190</v>
      </c>
      <c r="F61" s="1"/>
      <c r="G61" s="7">
        <v>91312</v>
      </c>
      <c r="H61" s="7">
        <v>43.9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50</v>
      </c>
      <c r="Z61" s="7">
        <v>0</v>
      </c>
      <c r="AC61" s="7">
        <v>0</v>
      </c>
      <c r="AD61" s="7">
        <v>0</v>
      </c>
    </row>
    <row r="62" spans="1:30" ht="28" x14ac:dyDescent="0.15">
      <c r="A62" s="3" t="s">
        <v>248</v>
      </c>
      <c r="B62" s="3" t="s">
        <v>249</v>
      </c>
      <c r="C62" s="3" t="s">
        <v>250</v>
      </c>
      <c r="D62" s="3" t="s">
        <v>251</v>
      </c>
      <c r="E62" s="1">
        <v>41669</v>
      </c>
      <c r="F62" s="1"/>
      <c r="G62" s="7">
        <v>87588.800000000003</v>
      </c>
      <c r="H62" s="7">
        <v>42.11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50</v>
      </c>
      <c r="Z62" s="7">
        <v>0</v>
      </c>
      <c r="AC62" s="7">
        <v>0</v>
      </c>
      <c r="AD62" s="7">
        <v>0</v>
      </c>
    </row>
    <row r="63" spans="1:30" ht="28" x14ac:dyDescent="0.15">
      <c r="A63" s="3" t="s">
        <v>252</v>
      </c>
      <c r="B63" s="3" t="s">
        <v>253</v>
      </c>
      <c r="C63" s="3" t="s">
        <v>254</v>
      </c>
      <c r="D63" s="3" t="s">
        <v>255</v>
      </c>
      <c r="E63" s="1">
        <v>45509</v>
      </c>
      <c r="F63" s="1"/>
      <c r="G63" s="7">
        <v>68972.800000000003</v>
      </c>
      <c r="H63" s="7">
        <v>33.159999999999997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50</v>
      </c>
      <c r="Z63" s="7">
        <v>0</v>
      </c>
      <c r="AC63" s="7">
        <v>0</v>
      </c>
      <c r="AD63" s="7">
        <v>0</v>
      </c>
    </row>
    <row r="64" spans="1:30" ht="28" x14ac:dyDescent="0.15">
      <c r="A64" s="3" t="s">
        <v>256</v>
      </c>
      <c r="B64" s="3" t="s">
        <v>257</v>
      </c>
      <c r="C64" s="3" t="s">
        <v>258</v>
      </c>
      <c r="D64" s="3" t="s">
        <v>259</v>
      </c>
      <c r="E64" s="1">
        <v>44676</v>
      </c>
      <c r="F64" s="1"/>
      <c r="G64" s="7">
        <v>78020.800000000003</v>
      </c>
      <c r="H64" s="7">
        <v>37.51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50</v>
      </c>
      <c r="Z64" s="7">
        <v>0</v>
      </c>
      <c r="AC64" s="7">
        <v>0</v>
      </c>
      <c r="AD64" s="7">
        <v>0</v>
      </c>
    </row>
    <row r="65" spans="1:30" ht="28" x14ac:dyDescent="0.15">
      <c r="A65" s="3" t="s">
        <v>260</v>
      </c>
      <c r="B65" s="3" t="s">
        <v>261</v>
      </c>
      <c r="C65" s="3" t="s">
        <v>262</v>
      </c>
      <c r="D65" s="3" t="s">
        <v>263</v>
      </c>
      <c r="E65" s="1">
        <v>42660</v>
      </c>
      <c r="F65" s="1"/>
      <c r="G65" s="7">
        <v>79892.800000000003</v>
      </c>
      <c r="H65" s="7">
        <v>38.409999999999997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50</v>
      </c>
      <c r="Z65" s="7">
        <v>0</v>
      </c>
      <c r="AC65" s="7">
        <v>0</v>
      </c>
      <c r="AD65" s="7">
        <v>0</v>
      </c>
    </row>
    <row r="66" spans="1:30" ht="28" x14ac:dyDescent="0.15">
      <c r="A66" s="3" t="s">
        <v>264</v>
      </c>
      <c r="B66" s="3" t="s">
        <v>265</v>
      </c>
      <c r="C66" s="3" t="s">
        <v>266</v>
      </c>
      <c r="D66" s="3" t="s">
        <v>267</v>
      </c>
      <c r="E66" s="1">
        <v>38601</v>
      </c>
      <c r="F66" s="1"/>
      <c r="G66" s="7">
        <v>52811.199999999997</v>
      </c>
      <c r="H66" s="7">
        <v>25.39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C66" s="7">
        <v>0</v>
      </c>
      <c r="AD66" s="7">
        <v>0</v>
      </c>
    </row>
    <row r="67" spans="1:30" ht="28" x14ac:dyDescent="0.15">
      <c r="A67" s="3" t="s">
        <v>268</v>
      </c>
      <c r="B67" s="3" t="s">
        <v>269</v>
      </c>
      <c r="C67" s="3" t="s">
        <v>270</v>
      </c>
      <c r="D67" s="3" t="s">
        <v>271</v>
      </c>
      <c r="E67" s="1">
        <v>27220</v>
      </c>
      <c r="F67" s="1"/>
      <c r="G67" s="7">
        <v>87588.800000000003</v>
      </c>
      <c r="H67" s="7">
        <v>42.11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C67" s="7">
        <v>0</v>
      </c>
      <c r="AD67" s="7">
        <v>0</v>
      </c>
    </row>
    <row r="68" spans="1:30" ht="28" x14ac:dyDescent="0.15">
      <c r="A68" s="3" t="s">
        <v>272</v>
      </c>
      <c r="B68" s="3" t="s">
        <v>273</v>
      </c>
      <c r="C68" s="3" t="s">
        <v>274</v>
      </c>
      <c r="D68" s="3" t="s">
        <v>275</v>
      </c>
      <c r="E68" s="1">
        <v>42590</v>
      </c>
      <c r="F68" s="1"/>
      <c r="G68" s="7">
        <v>66331.199999999997</v>
      </c>
      <c r="H68" s="7">
        <v>31.89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C68" s="7">
        <v>0</v>
      </c>
      <c r="AD68" s="7">
        <v>0</v>
      </c>
    </row>
    <row r="69" spans="1:30" ht="28" x14ac:dyDescent="0.15">
      <c r="A69" s="3" t="s">
        <v>276</v>
      </c>
      <c r="B69" s="3" t="s">
        <v>277</v>
      </c>
      <c r="C69" s="3" t="s">
        <v>278</v>
      </c>
      <c r="D69" s="3" t="s">
        <v>279</v>
      </c>
      <c r="E69" s="1">
        <v>38593</v>
      </c>
      <c r="F69" s="1"/>
      <c r="G69" s="7">
        <v>83449.600000000006</v>
      </c>
      <c r="H69" s="7">
        <v>40.119999999999997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C69" s="7">
        <v>0</v>
      </c>
      <c r="AD69" s="7">
        <v>0</v>
      </c>
    </row>
    <row r="70" spans="1:30" ht="28" x14ac:dyDescent="0.15">
      <c r="A70" s="3" t="s">
        <v>280</v>
      </c>
      <c r="B70" s="3" t="s">
        <v>281</v>
      </c>
      <c r="C70" s="3" t="s">
        <v>282</v>
      </c>
      <c r="D70" s="3" t="s">
        <v>283</v>
      </c>
      <c r="E70" s="1">
        <v>43311</v>
      </c>
      <c r="F70" s="1"/>
      <c r="G70" s="7">
        <v>52811.199999999997</v>
      </c>
      <c r="H70" s="7">
        <v>25.39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50</v>
      </c>
      <c r="Z70" s="7">
        <v>0</v>
      </c>
      <c r="AC70" s="7">
        <v>0</v>
      </c>
      <c r="AD70" s="7">
        <v>0</v>
      </c>
    </row>
    <row r="71" spans="1:30" ht="28" x14ac:dyDescent="0.15">
      <c r="A71" s="3" t="s">
        <v>284</v>
      </c>
      <c r="B71" s="3" t="s">
        <v>285</v>
      </c>
      <c r="C71" s="3" t="s">
        <v>286</v>
      </c>
      <c r="D71" s="3" t="s">
        <v>287</v>
      </c>
      <c r="E71" s="1">
        <v>43276</v>
      </c>
      <c r="F71" s="1"/>
      <c r="G71" s="7">
        <v>83886.399999999994</v>
      </c>
      <c r="H71" s="7">
        <v>40.33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50</v>
      </c>
      <c r="Z71" s="7">
        <v>0</v>
      </c>
      <c r="AC71" s="7">
        <v>0</v>
      </c>
      <c r="AD71" s="7">
        <v>0</v>
      </c>
    </row>
    <row r="72" spans="1:30" ht="28" x14ac:dyDescent="0.15">
      <c r="A72" s="3" t="s">
        <v>288</v>
      </c>
      <c r="B72" s="3" t="s">
        <v>289</v>
      </c>
      <c r="C72" s="3" t="s">
        <v>290</v>
      </c>
      <c r="D72" s="3" t="s">
        <v>291</v>
      </c>
      <c r="E72" s="1">
        <v>43241</v>
      </c>
      <c r="F72" s="1"/>
      <c r="G72" s="7">
        <v>87588.800000000003</v>
      </c>
      <c r="H72" s="7">
        <v>42.11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50</v>
      </c>
      <c r="Z72" s="7">
        <v>0</v>
      </c>
      <c r="AC72" s="7">
        <v>0</v>
      </c>
      <c r="AD72" s="7">
        <v>0</v>
      </c>
    </row>
    <row r="73" spans="1:30" ht="28" x14ac:dyDescent="0.15">
      <c r="A73" s="3" t="s">
        <v>292</v>
      </c>
      <c r="B73" s="3" t="s">
        <v>293</v>
      </c>
      <c r="C73" s="3" t="s">
        <v>294</v>
      </c>
      <c r="D73" s="3" t="s">
        <v>295</v>
      </c>
      <c r="E73" s="1">
        <v>45516</v>
      </c>
      <c r="F73" s="1">
        <v>45067</v>
      </c>
      <c r="G73" s="7">
        <v>83886.399999999994</v>
      </c>
      <c r="H73" s="7">
        <v>40.33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50</v>
      </c>
      <c r="Z73" s="7">
        <v>0</v>
      </c>
      <c r="AC73" s="7">
        <v>0</v>
      </c>
      <c r="AD73" s="7">
        <v>0</v>
      </c>
    </row>
    <row r="74" spans="1:30" ht="28" x14ac:dyDescent="0.15">
      <c r="A74" s="3" t="s">
        <v>296</v>
      </c>
      <c r="B74" s="3" t="s">
        <v>297</v>
      </c>
      <c r="C74" s="3" t="s">
        <v>298</v>
      </c>
      <c r="D74" s="3" t="s">
        <v>299</v>
      </c>
      <c r="E74" s="1">
        <v>45768</v>
      </c>
      <c r="F74" s="1"/>
      <c r="G74" s="7">
        <v>63523.199999999997</v>
      </c>
      <c r="H74" s="7">
        <v>30.54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50</v>
      </c>
      <c r="Z74" s="7">
        <v>0</v>
      </c>
      <c r="AC74" s="7">
        <v>0</v>
      </c>
      <c r="AD74" s="7">
        <v>0</v>
      </c>
    </row>
    <row r="75" spans="1:30" ht="28" x14ac:dyDescent="0.15">
      <c r="A75" s="3" t="s">
        <v>300</v>
      </c>
      <c r="B75" s="3" t="s">
        <v>301</v>
      </c>
      <c r="C75" s="3" t="s">
        <v>302</v>
      </c>
      <c r="D75" s="3" t="s">
        <v>303</v>
      </c>
      <c r="E75" s="1">
        <v>44935</v>
      </c>
      <c r="F75" s="1"/>
      <c r="G75" s="7">
        <v>52811.199999999997</v>
      </c>
      <c r="H75" s="7">
        <v>25.39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50</v>
      </c>
      <c r="Z75" s="7">
        <v>0</v>
      </c>
      <c r="AC75" s="7">
        <v>0</v>
      </c>
      <c r="AD75" s="7">
        <v>0</v>
      </c>
    </row>
    <row r="76" spans="1:30" ht="28" x14ac:dyDescent="0.15">
      <c r="A76" s="3" t="s">
        <v>304</v>
      </c>
      <c r="B76" s="3" t="s">
        <v>305</v>
      </c>
      <c r="C76" s="3" t="s">
        <v>306</v>
      </c>
      <c r="D76" s="3" t="s">
        <v>307</v>
      </c>
      <c r="E76" s="1">
        <v>39414</v>
      </c>
      <c r="F76" s="1"/>
      <c r="G76" s="7">
        <v>93620.800000000003</v>
      </c>
      <c r="H76" s="7">
        <v>45.01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50</v>
      </c>
      <c r="Z76" s="7">
        <v>0</v>
      </c>
      <c r="AC76" s="7">
        <v>0</v>
      </c>
      <c r="AD76" s="7">
        <v>0</v>
      </c>
    </row>
    <row r="77" spans="1:30" ht="28" x14ac:dyDescent="0.15">
      <c r="A77" s="3" t="s">
        <v>308</v>
      </c>
      <c r="B77" s="3" t="s">
        <v>309</v>
      </c>
      <c r="C77" s="3" t="s">
        <v>310</v>
      </c>
      <c r="D77" s="3" t="s">
        <v>311</v>
      </c>
      <c r="E77" s="1">
        <v>37474</v>
      </c>
      <c r="F77" s="1"/>
      <c r="G77" s="7">
        <v>55515.199999999997</v>
      </c>
      <c r="H77" s="7">
        <v>26.69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50</v>
      </c>
      <c r="Z77" s="7">
        <v>0</v>
      </c>
      <c r="AC77" s="7">
        <v>0</v>
      </c>
      <c r="AD77" s="7">
        <v>0</v>
      </c>
    </row>
    <row r="78" spans="1:30" ht="28" x14ac:dyDescent="0.15">
      <c r="A78" s="3" t="s">
        <v>312</v>
      </c>
      <c r="B78" s="3" t="s">
        <v>313</v>
      </c>
      <c r="C78" s="3" t="s">
        <v>314</v>
      </c>
      <c r="D78" s="3" t="s">
        <v>315</v>
      </c>
      <c r="E78" s="1">
        <v>45817</v>
      </c>
      <c r="F78" s="1"/>
      <c r="G78" s="7">
        <v>78020.800000000003</v>
      </c>
      <c r="H78" s="7">
        <v>37.51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50</v>
      </c>
      <c r="Z78" s="7">
        <v>0</v>
      </c>
      <c r="AC78" s="7">
        <v>0</v>
      </c>
      <c r="AD78" s="7">
        <v>0</v>
      </c>
    </row>
    <row r="79" spans="1:30" ht="28" x14ac:dyDescent="0.15">
      <c r="A79" s="3" t="s">
        <v>316</v>
      </c>
      <c r="B79" s="3" t="s">
        <v>317</v>
      </c>
      <c r="C79" s="3" t="s">
        <v>318</v>
      </c>
      <c r="D79" s="3" t="s">
        <v>319</v>
      </c>
      <c r="E79" s="1">
        <v>45516</v>
      </c>
      <c r="F79" s="1"/>
      <c r="G79" s="7">
        <v>68972.800000000003</v>
      </c>
      <c r="H79" s="7">
        <v>33.159999999999997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50</v>
      </c>
      <c r="Z79" s="7">
        <v>0</v>
      </c>
      <c r="AC79" s="7">
        <v>0</v>
      </c>
      <c r="AD79" s="7">
        <v>0</v>
      </c>
    </row>
    <row r="80" spans="1:30" ht="28" x14ac:dyDescent="0.15">
      <c r="A80" s="3" t="s">
        <v>320</v>
      </c>
      <c r="B80" s="3" t="s">
        <v>321</v>
      </c>
      <c r="C80" s="3" t="s">
        <v>322</v>
      </c>
      <c r="D80" s="3" t="s">
        <v>323</v>
      </c>
      <c r="E80" s="1">
        <v>42800</v>
      </c>
      <c r="F80" s="1">
        <v>41958</v>
      </c>
      <c r="G80" s="7">
        <v>87588.800000000003</v>
      </c>
      <c r="H80" s="7">
        <v>42.11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C80" s="7">
        <v>0</v>
      </c>
      <c r="AD80" s="7">
        <v>0</v>
      </c>
    </row>
    <row r="81" spans="1:30" ht="28" x14ac:dyDescent="0.15">
      <c r="A81" s="3" t="s">
        <v>324</v>
      </c>
      <c r="B81" s="3" t="s">
        <v>325</v>
      </c>
      <c r="C81" s="3" t="s">
        <v>326</v>
      </c>
      <c r="D81" s="3" t="s">
        <v>327</v>
      </c>
      <c r="E81" s="1">
        <v>43403</v>
      </c>
      <c r="F81" s="1"/>
      <c r="G81" s="7">
        <v>52811.199999999997</v>
      </c>
      <c r="H81" s="7">
        <v>25.39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50</v>
      </c>
      <c r="Z81" s="7">
        <v>0</v>
      </c>
      <c r="AC81" s="7">
        <v>0</v>
      </c>
      <c r="AD81" s="7">
        <v>0</v>
      </c>
    </row>
    <row r="82" spans="1:30" ht="28" x14ac:dyDescent="0.15">
      <c r="A82" s="3" t="s">
        <v>328</v>
      </c>
      <c r="B82" s="3" t="s">
        <v>329</v>
      </c>
      <c r="C82" s="3" t="s">
        <v>330</v>
      </c>
      <c r="D82" s="3" t="s">
        <v>331</v>
      </c>
      <c r="E82" s="1">
        <v>45950</v>
      </c>
      <c r="F82" s="1"/>
      <c r="G82" s="7">
        <v>63523.199999999997</v>
      </c>
      <c r="H82" s="7">
        <v>30.54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50</v>
      </c>
      <c r="Z82" s="7">
        <v>0</v>
      </c>
      <c r="AC82" s="7">
        <v>0</v>
      </c>
      <c r="AD82" s="7">
        <v>0</v>
      </c>
    </row>
    <row r="83" spans="1:30" ht="28" x14ac:dyDescent="0.15">
      <c r="A83" s="3" t="s">
        <v>332</v>
      </c>
      <c r="B83" s="3" t="s">
        <v>333</v>
      </c>
      <c r="C83" s="3" t="s">
        <v>334</v>
      </c>
      <c r="D83" s="3" t="s">
        <v>335</v>
      </c>
      <c r="E83" s="1">
        <v>39595</v>
      </c>
      <c r="F83" s="1"/>
      <c r="G83" s="7">
        <v>93620.800000000003</v>
      </c>
      <c r="H83" s="7">
        <v>45.01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50</v>
      </c>
      <c r="Z83" s="7">
        <v>0</v>
      </c>
      <c r="AC83" s="7">
        <v>0</v>
      </c>
      <c r="AD83" s="7">
        <v>0</v>
      </c>
    </row>
    <row r="84" spans="1:30" ht="28" x14ac:dyDescent="0.15">
      <c r="A84" s="3" t="s">
        <v>336</v>
      </c>
      <c r="B84" s="3" t="s">
        <v>337</v>
      </c>
      <c r="C84" s="3" t="s">
        <v>338</v>
      </c>
      <c r="D84" s="3" t="s">
        <v>339</v>
      </c>
      <c r="E84" s="1">
        <v>45789</v>
      </c>
      <c r="F84" s="1"/>
      <c r="G84" s="7">
        <v>79892.800000000003</v>
      </c>
      <c r="H84" s="7">
        <v>38.409999999999997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50</v>
      </c>
      <c r="Z84" s="7">
        <v>0</v>
      </c>
      <c r="AC84" s="7">
        <v>0</v>
      </c>
      <c r="AD84" s="7">
        <v>0</v>
      </c>
    </row>
    <row r="85" spans="1:30" ht="28" x14ac:dyDescent="0.15">
      <c r="A85" s="3" t="s">
        <v>340</v>
      </c>
      <c r="B85" s="3" t="s">
        <v>341</v>
      </c>
      <c r="C85" s="3" t="s">
        <v>342</v>
      </c>
      <c r="D85" s="3" t="s">
        <v>343</v>
      </c>
      <c r="E85" s="1">
        <v>31734</v>
      </c>
      <c r="F85" s="1"/>
      <c r="G85" s="7">
        <v>87588.800000000003</v>
      </c>
      <c r="H85" s="7">
        <v>42.11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50</v>
      </c>
      <c r="Z85" s="7">
        <v>0</v>
      </c>
      <c r="AC85" s="7">
        <v>0</v>
      </c>
      <c r="AD85" s="7">
        <v>0</v>
      </c>
    </row>
    <row r="86" spans="1:30" ht="28" x14ac:dyDescent="0.15">
      <c r="A86" s="3" t="s">
        <v>344</v>
      </c>
      <c r="B86" s="3" t="s">
        <v>345</v>
      </c>
      <c r="C86" s="3" t="s">
        <v>346</v>
      </c>
      <c r="D86" s="3" t="s">
        <v>347</v>
      </c>
      <c r="E86" s="1">
        <v>35618</v>
      </c>
      <c r="F86" s="1"/>
      <c r="G86" s="7">
        <v>83449.600000000006</v>
      </c>
      <c r="H86" s="7">
        <v>40.119999999999997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50</v>
      </c>
      <c r="Z86" s="7">
        <v>0</v>
      </c>
      <c r="AC86" s="7">
        <v>0</v>
      </c>
      <c r="AD86" s="7">
        <v>0</v>
      </c>
    </row>
    <row r="87" spans="1:30" ht="28" x14ac:dyDescent="0.15">
      <c r="A87" s="3" t="s">
        <v>348</v>
      </c>
      <c r="B87" s="3" t="s">
        <v>349</v>
      </c>
      <c r="C87" s="3" t="s">
        <v>350</v>
      </c>
      <c r="D87" s="3" t="s">
        <v>351</v>
      </c>
      <c r="E87" s="1">
        <v>45110</v>
      </c>
      <c r="F87" s="1"/>
      <c r="G87" s="7">
        <v>63523.199999999997</v>
      </c>
      <c r="H87" s="7">
        <v>30.54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50</v>
      </c>
      <c r="Z87" s="7">
        <v>0</v>
      </c>
      <c r="AC87" s="7">
        <v>0</v>
      </c>
      <c r="AD87" s="7">
        <v>0</v>
      </c>
    </row>
    <row r="88" spans="1:30" ht="28" x14ac:dyDescent="0.15">
      <c r="A88" s="3" t="s">
        <v>352</v>
      </c>
      <c r="B88" s="3" t="s">
        <v>353</v>
      </c>
      <c r="C88" s="3" t="s">
        <v>354</v>
      </c>
      <c r="D88" s="3" t="s">
        <v>355</v>
      </c>
      <c r="E88" s="1">
        <v>38579</v>
      </c>
      <c r="F88" s="1"/>
      <c r="G88" s="7">
        <v>83886.399999999994</v>
      </c>
      <c r="H88" s="7">
        <v>40.33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50</v>
      </c>
      <c r="Z88" s="7">
        <v>0</v>
      </c>
      <c r="AC88" s="7">
        <v>0</v>
      </c>
      <c r="AD88" s="7">
        <v>0</v>
      </c>
    </row>
    <row r="89" spans="1:30" ht="28" x14ac:dyDescent="0.15">
      <c r="A89" s="3" t="s">
        <v>356</v>
      </c>
      <c r="B89" s="3" t="s">
        <v>357</v>
      </c>
      <c r="C89" s="3" t="s">
        <v>358</v>
      </c>
      <c r="D89" s="3" t="s">
        <v>359</v>
      </c>
      <c r="E89" s="1">
        <v>32097</v>
      </c>
      <c r="F89" s="1"/>
      <c r="G89" s="7">
        <v>83886.399999999994</v>
      </c>
      <c r="H89" s="7">
        <v>40.33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50</v>
      </c>
      <c r="Z89" s="7">
        <v>0</v>
      </c>
      <c r="AC89" s="7">
        <v>0</v>
      </c>
      <c r="AD89" s="7">
        <v>0</v>
      </c>
    </row>
    <row r="90" spans="1:30" ht="28" x14ac:dyDescent="0.15">
      <c r="A90" s="3" t="s">
        <v>360</v>
      </c>
      <c r="B90" s="3" t="s">
        <v>361</v>
      </c>
      <c r="C90" s="3" t="s">
        <v>362</v>
      </c>
      <c r="D90" s="3" t="s">
        <v>363</v>
      </c>
      <c r="E90" s="1">
        <v>45600</v>
      </c>
      <c r="F90" s="1"/>
      <c r="G90" s="7">
        <v>83886.399999999994</v>
      </c>
      <c r="H90" s="7">
        <v>40.33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50</v>
      </c>
      <c r="Z90" s="7">
        <v>0</v>
      </c>
      <c r="AC90" s="7">
        <v>0</v>
      </c>
      <c r="AD90" s="7">
        <v>0</v>
      </c>
    </row>
    <row r="91" spans="1:30" ht="28" x14ac:dyDescent="0.15">
      <c r="A91" s="3" t="s">
        <v>364</v>
      </c>
      <c r="B91" s="3" t="s">
        <v>365</v>
      </c>
      <c r="C91" s="3" t="s">
        <v>366</v>
      </c>
      <c r="D91" s="3" t="s">
        <v>367</v>
      </c>
      <c r="E91" s="1">
        <v>37690</v>
      </c>
      <c r="F91" s="1"/>
      <c r="G91" s="7">
        <v>83449.600000000006</v>
      </c>
      <c r="H91" s="7">
        <v>40.119999999999997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C91" s="7">
        <v>0</v>
      </c>
      <c r="AD91" s="7">
        <v>0</v>
      </c>
    </row>
    <row r="92" spans="1:30" ht="28" x14ac:dyDescent="0.15">
      <c r="A92" s="3" t="s">
        <v>368</v>
      </c>
      <c r="B92" s="3" t="s">
        <v>369</v>
      </c>
      <c r="C92" s="3" t="s">
        <v>370</v>
      </c>
      <c r="D92" s="3" t="s">
        <v>371</v>
      </c>
      <c r="E92" s="1">
        <v>39566</v>
      </c>
      <c r="F92" s="1"/>
      <c r="G92" s="7">
        <v>83886.399999999994</v>
      </c>
      <c r="H92" s="7">
        <v>40.33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50</v>
      </c>
      <c r="Z92" s="7">
        <v>0</v>
      </c>
      <c r="AC92" s="7">
        <v>0</v>
      </c>
      <c r="AD92" s="7">
        <v>0</v>
      </c>
    </row>
    <row r="93" spans="1:30" ht="28" x14ac:dyDescent="0.15">
      <c r="A93" s="3" t="s">
        <v>372</v>
      </c>
      <c r="B93" s="3" t="s">
        <v>373</v>
      </c>
      <c r="C93" s="3" t="s">
        <v>374</v>
      </c>
      <c r="D93" s="3" t="s">
        <v>375</v>
      </c>
      <c r="E93" s="1">
        <v>39118</v>
      </c>
      <c r="F93" s="1"/>
      <c r="G93" s="7">
        <v>78020.800000000003</v>
      </c>
      <c r="H93" s="7">
        <v>37.51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50</v>
      </c>
      <c r="Z93" s="7">
        <v>0</v>
      </c>
      <c r="AC93" s="7">
        <v>0</v>
      </c>
      <c r="AD93" s="7">
        <v>0</v>
      </c>
    </row>
    <row r="94" spans="1:30" ht="28" x14ac:dyDescent="0.15">
      <c r="A94" s="3" t="s">
        <v>376</v>
      </c>
      <c r="B94" s="3" t="s">
        <v>377</v>
      </c>
      <c r="C94" s="3" t="s">
        <v>378</v>
      </c>
      <c r="D94" s="3" t="s">
        <v>379</v>
      </c>
      <c r="E94" s="1">
        <v>36145</v>
      </c>
      <c r="F94" s="1">
        <v>46056</v>
      </c>
      <c r="G94" s="7">
        <v>83449.600000000006</v>
      </c>
      <c r="H94" s="7">
        <v>40.119999999999997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C94" s="7">
        <v>0</v>
      </c>
      <c r="AD94" s="7">
        <v>0</v>
      </c>
    </row>
    <row r="95" spans="1:30" ht="28" x14ac:dyDescent="0.15">
      <c r="A95" s="3" t="s">
        <v>380</v>
      </c>
      <c r="B95" s="3" t="s">
        <v>381</v>
      </c>
      <c r="C95" s="3" t="s">
        <v>382</v>
      </c>
      <c r="D95" s="3" t="s">
        <v>383</v>
      </c>
      <c r="E95" s="1">
        <v>32033</v>
      </c>
      <c r="F95" s="1"/>
      <c r="G95" s="7">
        <v>93620.800000000003</v>
      </c>
      <c r="H95" s="7">
        <v>45.01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C95" s="7">
        <v>0</v>
      </c>
      <c r="AD95" s="7">
        <v>0</v>
      </c>
    </row>
    <row r="96" spans="1:30" ht="28" x14ac:dyDescent="0.15">
      <c r="A96" s="3" t="s">
        <v>384</v>
      </c>
      <c r="B96" s="3" t="s">
        <v>385</v>
      </c>
      <c r="C96" s="3" t="s">
        <v>386</v>
      </c>
      <c r="D96" s="3" t="s">
        <v>387</v>
      </c>
      <c r="E96" s="1">
        <v>45026</v>
      </c>
      <c r="F96" s="1"/>
      <c r="G96" s="7">
        <v>63523.199999999997</v>
      </c>
      <c r="H96" s="7">
        <v>30.54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50</v>
      </c>
      <c r="Z96" s="7">
        <v>0</v>
      </c>
      <c r="AC96" s="7">
        <v>0</v>
      </c>
      <c r="AD96" s="7">
        <v>0</v>
      </c>
    </row>
    <row r="97" spans="1:30" ht="28" x14ac:dyDescent="0.15">
      <c r="A97" s="3" t="s">
        <v>388</v>
      </c>
      <c r="B97" s="3" t="s">
        <v>389</v>
      </c>
      <c r="C97" s="3" t="s">
        <v>390</v>
      </c>
      <c r="D97" s="3" t="s">
        <v>391</v>
      </c>
      <c r="E97" s="1">
        <v>45635</v>
      </c>
      <c r="F97" s="1"/>
      <c r="G97" s="7">
        <v>83886.399999999994</v>
      </c>
      <c r="H97" s="7">
        <v>40.33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50</v>
      </c>
      <c r="Z97" s="7">
        <v>0</v>
      </c>
      <c r="AC97" s="7">
        <v>0</v>
      </c>
      <c r="AD97" s="7">
        <v>0</v>
      </c>
    </row>
    <row r="98" spans="1:30" ht="28" x14ac:dyDescent="0.15">
      <c r="A98" s="3" t="s">
        <v>392</v>
      </c>
      <c r="B98" s="3" t="s">
        <v>393</v>
      </c>
      <c r="C98" s="3" t="s">
        <v>394</v>
      </c>
      <c r="D98" s="3" t="s">
        <v>395</v>
      </c>
      <c r="E98" s="1">
        <v>43696</v>
      </c>
      <c r="F98" s="1"/>
      <c r="G98" s="7">
        <v>74256</v>
      </c>
      <c r="H98" s="7">
        <v>35.700000000000003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50</v>
      </c>
      <c r="Z98" s="7">
        <v>0</v>
      </c>
      <c r="AC98" s="7">
        <v>0</v>
      </c>
      <c r="AD98" s="7">
        <v>0</v>
      </c>
    </row>
    <row r="99" spans="1:30" ht="28" x14ac:dyDescent="0.15">
      <c r="A99" s="3" t="s">
        <v>396</v>
      </c>
      <c r="B99" s="3" t="s">
        <v>397</v>
      </c>
      <c r="C99" s="3" t="s">
        <v>398</v>
      </c>
      <c r="D99" s="3" t="s">
        <v>399</v>
      </c>
      <c r="E99" s="1">
        <v>44949</v>
      </c>
      <c r="F99" s="1"/>
      <c r="G99" s="7">
        <v>78020.800000000003</v>
      </c>
      <c r="H99" s="7">
        <v>37.51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50</v>
      </c>
      <c r="Z99" s="7">
        <v>0</v>
      </c>
      <c r="AC99" s="7">
        <v>0</v>
      </c>
      <c r="AD99" s="7">
        <v>0</v>
      </c>
    </row>
    <row r="100" spans="1:30" ht="28" x14ac:dyDescent="0.15">
      <c r="A100" s="3" t="s">
        <v>400</v>
      </c>
      <c r="B100" s="3" t="s">
        <v>401</v>
      </c>
      <c r="C100" s="3" t="s">
        <v>402</v>
      </c>
      <c r="D100" s="3" t="s">
        <v>403</v>
      </c>
      <c r="E100" s="1">
        <v>44949</v>
      </c>
      <c r="F100" s="1"/>
      <c r="G100" s="7">
        <v>79892.800000000003</v>
      </c>
      <c r="H100" s="7">
        <v>38.409999999999997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50</v>
      </c>
      <c r="Z100" s="7">
        <v>0</v>
      </c>
      <c r="AC100" s="7">
        <v>0</v>
      </c>
      <c r="AD100" s="7">
        <v>0</v>
      </c>
    </row>
    <row r="101" spans="1:30" ht="28" x14ac:dyDescent="0.15">
      <c r="A101" s="3" t="s">
        <v>404</v>
      </c>
      <c r="B101" s="3" t="s">
        <v>405</v>
      </c>
      <c r="C101" s="3" t="s">
        <v>406</v>
      </c>
      <c r="D101" s="3" t="s">
        <v>407</v>
      </c>
      <c r="E101" s="1">
        <v>45180</v>
      </c>
      <c r="F101" s="1"/>
      <c r="G101" s="7">
        <v>52811.199999999997</v>
      </c>
      <c r="H101" s="7">
        <v>25.39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50</v>
      </c>
      <c r="Z101" s="7">
        <v>0</v>
      </c>
      <c r="AC101" s="7">
        <v>0</v>
      </c>
      <c r="AD101" s="7">
        <v>0</v>
      </c>
    </row>
    <row r="102" spans="1:30" ht="28" x14ac:dyDescent="0.15">
      <c r="A102" s="3" t="s">
        <v>408</v>
      </c>
      <c r="B102" s="3" t="s">
        <v>409</v>
      </c>
      <c r="C102" s="3" t="s">
        <v>410</v>
      </c>
      <c r="D102" s="3" t="s">
        <v>411</v>
      </c>
      <c r="E102" s="1">
        <v>43374</v>
      </c>
      <c r="F102" s="1"/>
      <c r="G102" s="7">
        <v>87588.800000000003</v>
      </c>
      <c r="H102" s="7">
        <v>42.11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C102" s="7">
        <v>0</v>
      </c>
      <c r="AD102" s="7">
        <v>0</v>
      </c>
    </row>
    <row r="103" spans="1:30" ht="28" x14ac:dyDescent="0.15">
      <c r="A103" s="3" t="s">
        <v>412</v>
      </c>
      <c r="B103" s="3" t="s">
        <v>413</v>
      </c>
      <c r="C103" s="3" t="s">
        <v>414</v>
      </c>
      <c r="D103" s="3" t="s">
        <v>415</v>
      </c>
      <c r="E103" s="1">
        <v>33446</v>
      </c>
      <c r="F103" s="1"/>
      <c r="G103" s="7">
        <v>87588.800000000003</v>
      </c>
      <c r="H103" s="7">
        <v>42.11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50</v>
      </c>
      <c r="Z103" s="7">
        <v>0</v>
      </c>
      <c r="AC103" s="7">
        <v>0</v>
      </c>
      <c r="AD103" s="7">
        <v>0</v>
      </c>
    </row>
    <row r="104" spans="1:30" ht="28" x14ac:dyDescent="0.15">
      <c r="A104" s="3" t="s">
        <v>416</v>
      </c>
      <c r="B104" s="3" t="s">
        <v>417</v>
      </c>
      <c r="C104" s="3" t="s">
        <v>418</v>
      </c>
      <c r="D104" s="3" t="s">
        <v>419</v>
      </c>
      <c r="E104" s="1">
        <v>41205</v>
      </c>
      <c r="F104" s="1"/>
      <c r="G104" s="7">
        <v>56908.800000000003</v>
      </c>
      <c r="H104" s="7">
        <v>27.36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50</v>
      </c>
      <c r="Z104" s="7">
        <v>0</v>
      </c>
      <c r="AC104" s="7">
        <v>0</v>
      </c>
      <c r="AD104" s="7">
        <v>0</v>
      </c>
    </row>
    <row r="105" spans="1:30" ht="28" x14ac:dyDescent="0.15">
      <c r="A105" s="3" t="s">
        <v>420</v>
      </c>
      <c r="B105" s="3" t="s">
        <v>421</v>
      </c>
      <c r="C105" s="3" t="s">
        <v>422</v>
      </c>
      <c r="D105" s="3" t="s">
        <v>423</v>
      </c>
      <c r="E105" s="1">
        <v>31576</v>
      </c>
      <c r="F105" s="1"/>
      <c r="G105" s="7">
        <v>79892.800000000003</v>
      </c>
      <c r="H105" s="7">
        <v>38.409999999999997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50</v>
      </c>
      <c r="Z105" s="7">
        <v>0</v>
      </c>
      <c r="AC105" s="7">
        <v>0</v>
      </c>
      <c r="AD105" s="7">
        <v>0</v>
      </c>
    </row>
    <row r="106" spans="1:30" ht="28" x14ac:dyDescent="0.15">
      <c r="A106" s="3" t="s">
        <v>424</v>
      </c>
      <c r="B106" s="3" t="s">
        <v>425</v>
      </c>
      <c r="C106" s="3" t="s">
        <v>426</v>
      </c>
      <c r="D106" s="3" t="s">
        <v>427</v>
      </c>
      <c r="E106" s="1">
        <v>43416</v>
      </c>
      <c r="F106" s="1"/>
      <c r="G106" s="7">
        <v>52811.199999999997</v>
      </c>
      <c r="H106" s="7">
        <v>25.39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50</v>
      </c>
      <c r="Z106" s="7">
        <v>0</v>
      </c>
      <c r="AC106" s="7">
        <v>0</v>
      </c>
      <c r="AD106" s="7">
        <v>0</v>
      </c>
    </row>
    <row r="107" spans="1:30" ht="28" x14ac:dyDescent="0.15">
      <c r="A107" s="3" t="s">
        <v>428</v>
      </c>
      <c r="B107" s="3" t="s">
        <v>429</v>
      </c>
      <c r="C107" s="3" t="s">
        <v>430</v>
      </c>
      <c r="D107" s="3" t="s">
        <v>431</v>
      </c>
      <c r="E107" s="1">
        <v>43570</v>
      </c>
      <c r="F107" s="1"/>
      <c r="G107" s="7">
        <v>83886.399999999994</v>
      </c>
      <c r="H107" s="7">
        <v>40.33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50</v>
      </c>
      <c r="Z107" s="7">
        <v>0</v>
      </c>
      <c r="AC107" s="7">
        <v>0</v>
      </c>
      <c r="AD107" s="7">
        <v>0</v>
      </c>
    </row>
    <row r="108" spans="1:30" ht="28" x14ac:dyDescent="0.15">
      <c r="A108" s="3" t="s">
        <v>432</v>
      </c>
      <c r="B108" s="3" t="s">
        <v>433</v>
      </c>
      <c r="C108" s="3" t="s">
        <v>434</v>
      </c>
      <c r="D108" s="3" t="s">
        <v>435</v>
      </c>
      <c r="E108" s="1">
        <v>42926</v>
      </c>
      <c r="F108" s="1"/>
      <c r="G108" s="7">
        <v>71718.399999999994</v>
      </c>
      <c r="H108" s="7">
        <v>34.479999999999997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50</v>
      </c>
      <c r="Z108" s="7">
        <v>0</v>
      </c>
      <c r="AC108" s="7">
        <v>0</v>
      </c>
      <c r="AD108" s="7">
        <v>0</v>
      </c>
    </row>
    <row r="109" spans="1:30" ht="28" x14ac:dyDescent="0.15">
      <c r="A109" s="3" t="s">
        <v>436</v>
      </c>
      <c r="B109" s="3" t="s">
        <v>437</v>
      </c>
      <c r="C109" s="3" t="s">
        <v>438</v>
      </c>
      <c r="D109" s="3" t="s">
        <v>439</v>
      </c>
      <c r="E109" s="1">
        <v>45642</v>
      </c>
      <c r="F109" s="1"/>
      <c r="G109" s="7">
        <v>79892.800000000003</v>
      </c>
      <c r="H109" s="7">
        <v>38.409999999999997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50</v>
      </c>
      <c r="Z109" s="7">
        <v>0</v>
      </c>
      <c r="AC109" s="7">
        <v>0</v>
      </c>
      <c r="AD109" s="7">
        <v>0</v>
      </c>
    </row>
    <row r="110" spans="1:30" ht="28" x14ac:dyDescent="0.15">
      <c r="A110" s="3" t="s">
        <v>440</v>
      </c>
      <c r="B110" s="3" t="s">
        <v>441</v>
      </c>
      <c r="C110" s="3" t="s">
        <v>442</v>
      </c>
      <c r="D110" s="3" t="s">
        <v>443</v>
      </c>
      <c r="E110" s="1">
        <v>44718</v>
      </c>
      <c r="F110" s="1"/>
      <c r="G110" s="7">
        <v>83886.399999999994</v>
      </c>
      <c r="H110" s="7">
        <v>40.33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50</v>
      </c>
      <c r="Z110" s="7">
        <v>0</v>
      </c>
      <c r="AC110" s="7">
        <v>0</v>
      </c>
      <c r="AD110" s="7">
        <v>0</v>
      </c>
    </row>
    <row r="111" spans="1:30" ht="28" x14ac:dyDescent="0.15">
      <c r="A111" s="3" t="s">
        <v>444</v>
      </c>
      <c r="B111" s="3" t="s">
        <v>445</v>
      </c>
      <c r="C111" s="3" t="s">
        <v>446</v>
      </c>
      <c r="D111" s="3" t="s">
        <v>447</v>
      </c>
      <c r="E111" s="1">
        <v>45411</v>
      </c>
      <c r="F111" s="1"/>
      <c r="G111" s="7">
        <v>52811.199999999997</v>
      </c>
      <c r="H111" s="7">
        <v>25.39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50</v>
      </c>
      <c r="Z111" s="7">
        <v>0</v>
      </c>
      <c r="AC111" s="7">
        <v>0</v>
      </c>
      <c r="AD111" s="7">
        <v>0</v>
      </c>
    </row>
    <row r="112" spans="1:30" ht="28" x14ac:dyDescent="0.15">
      <c r="A112" s="3" t="s">
        <v>448</v>
      </c>
      <c r="B112" s="3" t="s">
        <v>449</v>
      </c>
      <c r="C112" s="3" t="s">
        <v>450</v>
      </c>
      <c r="D112" s="3" t="s">
        <v>451</v>
      </c>
      <c r="E112" s="1">
        <v>44907</v>
      </c>
      <c r="F112" s="1"/>
      <c r="G112" s="7">
        <v>79892.800000000003</v>
      </c>
      <c r="H112" s="7">
        <v>38.409999999999997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50</v>
      </c>
      <c r="Z112" s="7">
        <v>0</v>
      </c>
      <c r="AC112" s="7">
        <v>0</v>
      </c>
      <c r="AD112" s="7">
        <v>0</v>
      </c>
    </row>
    <row r="113" spans="1:30" ht="28" x14ac:dyDescent="0.15">
      <c r="A113" s="3" t="s">
        <v>452</v>
      </c>
      <c r="B113" s="3" t="s">
        <v>453</v>
      </c>
      <c r="C113" s="3" t="s">
        <v>454</v>
      </c>
      <c r="D113" s="3" t="s">
        <v>455</v>
      </c>
      <c r="E113" s="1">
        <v>38649</v>
      </c>
      <c r="F113" s="1">
        <v>46055</v>
      </c>
      <c r="G113" s="7">
        <v>91312</v>
      </c>
      <c r="H113" s="7">
        <v>43.9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C113" s="7">
        <v>0</v>
      </c>
      <c r="AD113" s="7">
        <v>0</v>
      </c>
    </row>
    <row r="114" spans="1:30" ht="28" x14ac:dyDescent="0.15">
      <c r="A114" s="3" t="s">
        <v>456</v>
      </c>
      <c r="B114" s="3" t="s">
        <v>457</v>
      </c>
      <c r="C114" s="3" t="s">
        <v>458</v>
      </c>
      <c r="D114" s="3" t="s">
        <v>459</v>
      </c>
      <c r="E114" s="1">
        <v>42983</v>
      </c>
      <c r="F114" s="1"/>
      <c r="G114" s="7">
        <v>87588.800000000003</v>
      </c>
      <c r="H114" s="7">
        <v>42.11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50</v>
      </c>
      <c r="Z114" s="7">
        <v>0</v>
      </c>
      <c r="AC114" s="7">
        <v>0</v>
      </c>
      <c r="AD114" s="7">
        <v>0</v>
      </c>
    </row>
    <row r="115" spans="1:30" ht="28" x14ac:dyDescent="0.15">
      <c r="A115" s="3" t="s">
        <v>460</v>
      </c>
      <c r="B115" s="3" t="s">
        <v>461</v>
      </c>
      <c r="C115" s="3" t="s">
        <v>462</v>
      </c>
      <c r="D115" s="3" t="s">
        <v>463</v>
      </c>
      <c r="E115" s="1">
        <v>44935</v>
      </c>
      <c r="F115" s="1"/>
      <c r="G115" s="7">
        <v>63523.199999999997</v>
      </c>
      <c r="H115" s="7">
        <v>30.54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50</v>
      </c>
      <c r="Z115" s="7">
        <v>0</v>
      </c>
      <c r="AC115" s="7">
        <v>0</v>
      </c>
      <c r="AD115" s="7">
        <v>0</v>
      </c>
    </row>
    <row r="116" spans="1:30" ht="28" x14ac:dyDescent="0.15">
      <c r="A116" s="3" t="s">
        <v>464</v>
      </c>
      <c r="B116" s="3" t="s">
        <v>465</v>
      </c>
      <c r="C116" s="3" t="s">
        <v>466</v>
      </c>
      <c r="D116" s="3" t="s">
        <v>467</v>
      </c>
      <c r="E116" s="1">
        <v>44977</v>
      </c>
      <c r="F116" s="1"/>
      <c r="G116" s="7">
        <v>63523.199999999997</v>
      </c>
      <c r="H116" s="7">
        <v>30.54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50</v>
      </c>
      <c r="Z116" s="7">
        <v>0</v>
      </c>
      <c r="AC116" s="7">
        <v>0</v>
      </c>
      <c r="AD116" s="7">
        <v>0</v>
      </c>
    </row>
    <row r="117" spans="1:30" ht="28" x14ac:dyDescent="0.15">
      <c r="A117" s="3" t="s">
        <v>468</v>
      </c>
      <c r="B117" s="3" t="s">
        <v>469</v>
      </c>
      <c r="C117" s="3" t="s">
        <v>470</v>
      </c>
      <c r="D117" s="3" t="s">
        <v>471</v>
      </c>
      <c r="E117" s="1">
        <v>45908</v>
      </c>
      <c r="F117" s="1">
        <v>45950</v>
      </c>
      <c r="G117" s="7">
        <v>52811.199999999997</v>
      </c>
      <c r="H117" s="7">
        <v>25.39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C117" s="7">
        <v>0</v>
      </c>
      <c r="AD117" s="7">
        <v>0</v>
      </c>
    </row>
    <row r="118" spans="1:30" ht="28" x14ac:dyDescent="0.15">
      <c r="A118" s="3" t="s">
        <v>472</v>
      </c>
      <c r="B118" s="3" t="s">
        <v>473</v>
      </c>
      <c r="C118" s="3" t="s">
        <v>474</v>
      </c>
      <c r="D118" s="3" t="s">
        <v>475</v>
      </c>
      <c r="E118" s="1">
        <v>44522</v>
      </c>
      <c r="F118" s="1"/>
      <c r="G118" s="7">
        <v>52811.199999999997</v>
      </c>
      <c r="H118" s="7">
        <v>25.39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50</v>
      </c>
      <c r="Z118" s="7">
        <v>0</v>
      </c>
      <c r="AC118" s="7">
        <v>0</v>
      </c>
      <c r="AD118" s="7">
        <v>0</v>
      </c>
    </row>
    <row r="119" spans="1:30" ht="28" x14ac:dyDescent="0.15">
      <c r="A119" s="3" t="s">
        <v>476</v>
      </c>
      <c r="B119" s="3" t="s">
        <v>477</v>
      </c>
      <c r="C119" s="3" t="s">
        <v>478</v>
      </c>
      <c r="D119" s="3" t="s">
        <v>479</v>
      </c>
      <c r="E119" s="1">
        <v>45432</v>
      </c>
      <c r="F119" s="1"/>
      <c r="G119" s="7">
        <v>52811.199999999997</v>
      </c>
      <c r="H119" s="7">
        <v>25.39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50</v>
      </c>
      <c r="Z119" s="7">
        <v>7.73</v>
      </c>
      <c r="AC119" s="7">
        <v>0</v>
      </c>
      <c r="AD119" s="7">
        <v>0</v>
      </c>
    </row>
    <row r="120" spans="1:30" ht="28" x14ac:dyDescent="0.15">
      <c r="A120" s="3" t="s">
        <v>480</v>
      </c>
      <c r="B120" s="3" t="s">
        <v>481</v>
      </c>
      <c r="C120" s="3" t="s">
        <v>482</v>
      </c>
      <c r="D120" s="3" t="s">
        <v>483</v>
      </c>
      <c r="E120" s="1">
        <v>41192</v>
      </c>
      <c r="F120" s="1"/>
      <c r="G120" s="7">
        <v>87588.800000000003</v>
      </c>
      <c r="H120" s="7">
        <v>42.11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C120" s="7">
        <v>0</v>
      </c>
      <c r="AD120" s="7">
        <v>0</v>
      </c>
    </row>
    <row r="121" spans="1:30" ht="28" x14ac:dyDescent="0.15">
      <c r="A121" s="3" t="s">
        <v>484</v>
      </c>
      <c r="B121" s="3" t="s">
        <v>485</v>
      </c>
      <c r="C121" s="3" t="s">
        <v>486</v>
      </c>
      <c r="D121" s="3" t="s">
        <v>487</v>
      </c>
      <c r="E121" s="1">
        <v>40581</v>
      </c>
      <c r="F121" s="1"/>
      <c r="G121" s="7">
        <v>74256</v>
      </c>
      <c r="H121" s="7">
        <v>35.700000000000003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50</v>
      </c>
      <c r="Z121" s="7">
        <v>0</v>
      </c>
      <c r="AC121" s="7">
        <v>0</v>
      </c>
      <c r="AD121" s="7">
        <v>0</v>
      </c>
    </row>
    <row r="122" spans="1:30" ht="28" x14ac:dyDescent="0.15">
      <c r="A122" s="3" t="s">
        <v>488</v>
      </c>
      <c r="B122" s="3" t="s">
        <v>489</v>
      </c>
      <c r="C122" s="3" t="s">
        <v>490</v>
      </c>
      <c r="D122" s="3" t="s">
        <v>491</v>
      </c>
      <c r="E122" s="1">
        <v>45299</v>
      </c>
      <c r="F122" s="1"/>
      <c r="G122" s="7">
        <v>83886.399999999994</v>
      </c>
      <c r="H122" s="7">
        <v>40.33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50</v>
      </c>
      <c r="Z122" s="7">
        <v>0</v>
      </c>
      <c r="AC122" s="7">
        <v>0</v>
      </c>
      <c r="AD122" s="7">
        <v>0</v>
      </c>
    </row>
    <row r="123" spans="1:30" ht="28" x14ac:dyDescent="0.15">
      <c r="A123" s="3" t="s">
        <v>492</v>
      </c>
      <c r="B123" s="3" t="s">
        <v>493</v>
      </c>
      <c r="C123" s="3" t="s">
        <v>494</v>
      </c>
      <c r="D123" s="3" t="s">
        <v>495</v>
      </c>
      <c r="E123" s="1">
        <v>45572</v>
      </c>
      <c r="F123" s="1"/>
      <c r="G123" s="7">
        <v>52811.199999999997</v>
      </c>
      <c r="H123" s="7">
        <v>25.39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50</v>
      </c>
      <c r="Z123" s="7">
        <v>0</v>
      </c>
      <c r="AC123" s="7">
        <v>0</v>
      </c>
      <c r="AD123" s="7">
        <v>0</v>
      </c>
    </row>
    <row r="124" spans="1:30" ht="28" x14ac:dyDescent="0.15">
      <c r="A124" s="3" t="s">
        <v>496</v>
      </c>
      <c r="B124" s="3" t="s">
        <v>497</v>
      </c>
      <c r="C124" s="3" t="s">
        <v>498</v>
      </c>
      <c r="D124" s="3" t="s">
        <v>499</v>
      </c>
      <c r="E124" s="1">
        <v>30998</v>
      </c>
      <c r="F124" s="1"/>
      <c r="G124" s="7">
        <v>68120</v>
      </c>
      <c r="H124" s="7">
        <v>32.75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50</v>
      </c>
      <c r="Z124" s="7">
        <v>0</v>
      </c>
      <c r="AC124" s="7">
        <v>0</v>
      </c>
      <c r="AD124" s="7">
        <v>0</v>
      </c>
    </row>
    <row r="125" spans="1:30" ht="28" x14ac:dyDescent="0.15">
      <c r="A125" s="3" t="s">
        <v>500</v>
      </c>
      <c r="B125" s="3" t="s">
        <v>501</v>
      </c>
      <c r="C125" s="3" t="s">
        <v>502</v>
      </c>
      <c r="D125" s="3" t="s">
        <v>503</v>
      </c>
      <c r="E125" s="1">
        <v>45222</v>
      </c>
      <c r="F125" s="1"/>
      <c r="G125" s="7">
        <v>79892.800000000003</v>
      </c>
      <c r="H125" s="7">
        <v>38.409999999999997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50</v>
      </c>
      <c r="Z125" s="7">
        <v>0</v>
      </c>
      <c r="AC125" s="7">
        <v>0</v>
      </c>
      <c r="AD125" s="7">
        <v>0</v>
      </c>
    </row>
    <row r="126" spans="1:30" ht="28" x14ac:dyDescent="0.15">
      <c r="A126" s="3" t="s">
        <v>504</v>
      </c>
      <c r="B126" s="3" t="s">
        <v>505</v>
      </c>
      <c r="C126" s="3" t="s">
        <v>506</v>
      </c>
      <c r="D126" s="3" t="s">
        <v>507</v>
      </c>
      <c r="E126" s="1">
        <v>45754</v>
      </c>
      <c r="F126" s="1"/>
      <c r="G126" s="7">
        <v>78020.800000000003</v>
      </c>
      <c r="H126" s="7">
        <v>37.51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50</v>
      </c>
      <c r="Z126" s="7">
        <v>0</v>
      </c>
      <c r="AC126" s="7">
        <v>0</v>
      </c>
      <c r="AD126" s="7">
        <v>0</v>
      </c>
    </row>
    <row r="127" spans="1:30" ht="28" x14ac:dyDescent="0.15">
      <c r="A127" s="3" t="s">
        <v>508</v>
      </c>
      <c r="B127" s="3" t="s">
        <v>509</v>
      </c>
      <c r="C127" s="3" t="s">
        <v>510</v>
      </c>
      <c r="D127" s="3" t="s">
        <v>511</v>
      </c>
      <c r="E127" s="1">
        <v>43388</v>
      </c>
      <c r="F127" s="1"/>
      <c r="G127" s="7">
        <v>74256</v>
      </c>
      <c r="H127" s="7">
        <v>35.700000000000003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50</v>
      </c>
      <c r="Z127" s="7">
        <v>0</v>
      </c>
      <c r="AC127" s="7">
        <v>0</v>
      </c>
      <c r="AD127" s="7">
        <v>0</v>
      </c>
    </row>
    <row r="128" spans="1:30" ht="42" x14ac:dyDescent="0.15">
      <c r="A128" s="3" t="s">
        <v>512</v>
      </c>
      <c r="B128" s="3" t="s">
        <v>513</v>
      </c>
      <c r="C128" s="3" t="s">
        <v>514</v>
      </c>
      <c r="D128" s="3" t="s">
        <v>515</v>
      </c>
      <c r="E128" s="1">
        <v>45099</v>
      </c>
      <c r="F128" s="1"/>
      <c r="G128" s="7">
        <v>52145.599999999999</v>
      </c>
      <c r="H128" s="7">
        <v>25.07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50</v>
      </c>
      <c r="Z128" s="7">
        <v>0</v>
      </c>
      <c r="AC128" s="7">
        <v>0</v>
      </c>
      <c r="AD128" s="7">
        <v>0</v>
      </c>
    </row>
    <row r="129" spans="1:30" ht="28" x14ac:dyDescent="0.15">
      <c r="A129" s="3" t="s">
        <v>516</v>
      </c>
      <c r="B129" s="3" t="s">
        <v>517</v>
      </c>
      <c r="C129" s="3" t="s">
        <v>518</v>
      </c>
      <c r="D129" s="3" t="s">
        <v>519</v>
      </c>
      <c r="E129" s="1">
        <v>41851</v>
      </c>
      <c r="F129" s="1"/>
      <c r="G129" s="7">
        <v>87588.800000000003</v>
      </c>
      <c r="H129" s="7">
        <v>42.11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50</v>
      </c>
      <c r="Z129" s="7">
        <v>0</v>
      </c>
      <c r="AC129" s="7">
        <v>0</v>
      </c>
      <c r="AD129" s="7">
        <v>0</v>
      </c>
    </row>
    <row r="130" spans="1:30" ht="28" x14ac:dyDescent="0.15">
      <c r="A130" s="3" t="s">
        <v>520</v>
      </c>
      <c r="B130" s="3" t="s">
        <v>521</v>
      </c>
      <c r="C130" s="3" t="s">
        <v>522</v>
      </c>
      <c r="D130" s="3" t="s">
        <v>523</v>
      </c>
      <c r="E130" s="1">
        <v>43066</v>
      </c>
      <c r="F130" s="1"/>
      <c r="G130" s="7">
        <v>52811.199999999997</v>
      </c>
      <c r="H130" s="7">
        <v>25.39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50</v>
      </c>
      <c r="Z130" s="7">
        <v>0</v>
      </c>
      <c r="AC130" s="7">
        <v>0</v>
      </c>
      <c r="AD130" s="7">
        <v>0</v>
      </c>
    </row>
    <row r="131" spans="1:30" ht="28" x14ac:dyDescent="0.15">
      <c r="A131" s="3" t="s">
        <v>524</v>
      </c>
      <c r="B131" s="3" t="s">
        <v>525</v>
      </c>
      <c r="C131" s="3" t="s">
        <v>526</v>
      </c>
      <c r="D131" s="3" t="s">
        <v>527</v>
      </c>
      <c r="E131" s="1">
        <v>43682</v>
      </c>
      <c r="F131" s="1"/>
      <c r="G131" s="7">
        <v>83886.399999999994</v>
      </c>
      <c r="H131" s="7">
        <v>40.33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50</v>
      </c>
      <c r="Z131" s="7">
        <v>0</v>
      </c>
      <c r="AC131" s="7">
        <v>0</v>
      </c>
      <c r="AD131" s="7">
        <v>0</v>
      </c>
    </row>
    <row r="132" spans="1:30" ht="28" x14ac:dyDescent="0.15">
      <c r="A132" s="3" t="s">
        <v>528</v>
      </c>
      <c r="B132" s="3" t="s">
        <v>529</v>
      </c>
      <c r="C132" s="3" t="s">
        <v>530</v>
      </c>
      <c r="D132" s="3" t="s">
        <v>531</v>
      </c>
      <c r="E132" s="1">
        <v>42562</v>
      </c>
      <c r="F132" s="1"/>
      <c r="G132" s="7">
        <v>52811.199999999997</v>
      </c>
      <c r="H132" s="7">
        <v>25.39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C132" s="7">
        <v>0</v>
      </c>
      <c r="AD132" s="7">
        <v>0</v>
      </c>
    </row>
    <row r="133" spans="1:30" ht="28" x14ac:dyDescent="0.15">
      <c r="A133" s="3" t="s">
        <v>532</v>
      </c>
      <c r="B133" s="3" t="s">
        <v>533</v>
      </c>
      <c r="C133" s="3" t="s">
        <v>534</v>
      </c>
      <c r="D133" s="3" t="s">
        <v>535</v>
      </c>
      <c r="E133" s="1">
        <v>44522</v>
      </c>
      <c r="F133" s="1"/>
      <c r="G133" s="7">
        <v>68120</v>
      </c>
      <c r="H133" s="7">
        <v>32.75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50</v>
      </c>
      <c r="Z133" s="7">
        <v>0</v>
      </c>
      <c r="AC133" s="7">
        <v>0</v>
      </c>
      <c r="AD133" s="7">
        <v>0</v>
      </c>
    </row>
    <row r="134" spans="1:30" ht="28" x14ac:dyDescent="0.15">
      <c r="A134" s="3" t="s">
        <v>536</v>
      </c>
      <c r="B134" s="3" t="s">
        <v>537</v>
      </c>
      <c r="C134" s="3" t="s">
        <v>538</v>
      </c>
      <c r="D134" s="3" t="s">
        <v>539</v>
      </c>
      <c r="E134" s="1">
        <v>42702</v>
      </c>
      <c r="F134" s="1"/>
      <c r="G134" s="7">
        <v>83886.399999999994</v>
      </c>
      <c r="H134" s="7">
        <v>40.33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50</v>
      </c>
      <c r="Z134" s="7">
        <v>0</v>
      </c>
      <c r="AC134" s="7">
        <v>0</v>
      </c>
      <c r="AD134" s="7">
        <v>0</v>
      </c>
    </row>
    <row r="135" spans="1:30" ht="28" x14ac:dyDescent="0.15">
      <c r="A135" s="3" t="s">
        <v>540</v>
      </c>
      <c r="B135" s="3" t="s">
        <v>541</v>
      </c>
      <c r="C135" s="3" t="s">
        <v>542</v>
      </c>
      <c r="D135" s="3" t="s">
        <v>543</v>
      </c>
      <c r="E135" s="1">
        <v>42758</v>
      </c>
      <c r="F135" s="1"/>
      <c r="G135" s="7">
        <v>87588.800000000003</v>
      </c>
      <c r="H135" s="7">
        <v>42.11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50</v>
      </c>
      <c r="Z135" s="7">
        <v>0</v>
      </c>
      <c r="AC135" s="7">
        <v>0</v>
      </c>
      <c r="AD135" s="7">
        <v>0</v>
      </c>
    </row>
    <row r="136" spans="1:30" ht="28" x14ac:dyDescent="0.15">
      <c r="A136" s="3" t="s">
        <v>544</v>
      </c>
      <c r="B136" s="3" t="s">
        <v>545</v>
      </c>
      <c r="C136" s="3" t="s">
        <v>546</v>
      </c>
      <c r="D136" s="3" t="s">
        <v>547</v>
      </c>
      <c r="E136" s="1">
        <v>42156</v>
      </c>
      <c r="F136" s="1"/>
      <c r="G136" s="7">
        <v>87588.800000000003</v>
      </c>
      <c r="H136" s="7">
        <v>42.11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50</v>
      </c>
      <c r="Z136" s="7">
        <v>0</v>
      </c>
      <c r="AC136" s="7">
        <v>0</v>
      </c>
      <c r="AD136" s="7">
        <v>0</v>
      </c>
    </row>
    <row r="137" spans="1:30" ht="28" x14ac:dyDescent="0.15">
      <c r="A137" s="3" t="s">
        <v>548</v>
      </c>
      <c r="B137" s="3" t="s">
        <v>549</v>
      </c>
      <c r="C137" s="3" t="s">
        <v>550</v>
      </c>
      <c r="D137" s="3" t="s">
        <v>551</v>
      </c>
      <c r="E137" s="1">
        <v>45810</v>
      </c>
      <c r="F137" s="1"/>
      <c r="G137" s="7">
        <v>83886.399999999994</v>
      </c>
      <c r="H137" s="7">
        <v>40.33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50</v>
      </c>
      <c r="Z137" s="7">
        <v>0</v>
      </c>
      <c r="AC137" s="7">
        <v>0</v>
      </c>
      <c r="AD137" s="7">
        <v>0</v>
      </c>
    </row>
    <row r="138" spans="1:30" ht="28" x14ac:dyDescent="0.15">
      <c r="A138" s="3" t="s">
        <v>552</v>
      </c>
      <c r="B138" s="3" t="s">
        <v>553</v>
      </c>
      <c r="C138" s="3" t="s">
        <v>554</v>
      </c>
      <c r="D138" s="3" t="s">
        <v>555</v>
      </c>
      <c r="E138" s="1">
        <v>43318</v>
      </c>
      <c r="F138" s="1"/>
      <c r="G138" s="7">
        <v>68972.800000000003</v>
      </c>
      <c r="H138" s="7">
        <v>33.159999999999997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50</v>
      </c>
      <c r="Z138" s="7">
        <v>0</v>
      </c>
      <c r="AC138" s="7">
        <v>0</v>
      </c>
      <c r="AD138" s="7">
        <v>0</v>
      </c>
    </row>
    <row r="139" spans="1:30" ht="28" x14ac:dyDescent="0.15">
      <c r="A139" s="3" t="s">
        <v>556</v>
      </c>
      <c r="B139" s="3" t="s">
        <v>557</v>
      </c>
      <c r="C139" s="3" t="s">
        <v>558</v>
      </c>
      <c r="D139" s="3" t="s">
        <v>559</v>
      </c>
      <c r="E139" s="1">
        <v>42128</v>
      </c>
      <c r="F139" s="1"/>
      <c r="G139" s="7">
        <v>87588.800000000003</v>
      </c>
      <c r="H139" s="7">
        <v>42.11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2071.2800000000002</v>
      </c>
      <c r="Z139" s="7">
        <v>1330.86</v>
      </c>
      <c r="AC139" s="7">
        <v>0</v>
      </c>
      <c r="AD139" s="7">
        <v>0</v>
      </c>
    </row>
    <row r="140" spans="1:30" ht="28" x14ac:dyDescent="0.15">
      <c r="A140" s="3" t="s">
        <v>560</v>
      </c>
      <c r="B140" s="3" t="s">
        <v>561</v>
      </c>
      <c r="C140" s="3" t="s">
        <v>562</v>
      </c>
      <c r="D140" s="3" t="s">
        <v>563</v>
      </c>
      <c r="E140" s="1">
        <v>43836</v>
      </c>
      <c r="F140" s="1"/>
      <c r="G140" s="7">
        <v>52811.199999999997</v>
      </c>
      <c r="H140" s="7">
        <v>25.39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50</v>
      </c>
      <c r="Z140" s="7">
        <v>0</v>
      </c>
      <c r="AC140" s="7">
        <v>0</v>
      </c>
      <c r="AD140" s="7">
        <v>0</v>
      </c>
    </row>
    <row r="141" spans="1:30" ht="28" x14ac:dyDescent="0.15">
      <c r="A141" s="3" t="s">
        <v>564</v>
      </c>
      <c r="B141" s="3" t="s">
        <v>565</v>
      </c>
      <c r="C141" s="3" t="s">
        <v>566</v>
      </c>
      <c r="D141" s="3" t="s">
        <v>567</v>
      </c>
      <c r="E141" s="1">
        <v>44704</v>
      </c>
      <c r="F141" s="1"/>
      <c r="G141" s="7">
        <v>83886.399999999994</v>
      </c>
      <c r="H141" s="7">
        <v>40.33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50</v>
      </c>
      <c r="Z141" s="7">
        <v>0</v>
      </c>
      <c r="AC141" s="7">
        <v>0</v>
      </c>
      <c r="AD141" s="7">
        <v>0</v>
      </c>
    </row>
    <row r="142" spans="1:30" ht="28" x14ac:dyDescent="0.15">
      <c r="A142" s="3" t="s">
        <v>568</v>
      </c>
      <c r="B142" s="3" t="s">
        <v>569</v>
      </c>
      <c r="C142" s="3" t="s">
        <v>570</v>
      </c>
      <c r="D142" s="3" t="s">
        <v>571</v>
      </c>
      <c r="E142" s="1">
        <v>41918</v>
      </c>
      <c r="F142" s="1"/>
      <c r="G142" s="7">
        <v>56908.800000000003</v>
      </c>
      <c r="H142" s="7">
        <v>27.36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50</v>
      </c>
      <c r="Z142" s="7">
        <v>0</v>
      </c>
      <c r="AC142" s="7">
        <v>0</v>
      </c>
      <c r="AD142" s="7">
        <v>0</v>
      </c>
    </row>
    <row r="143" spans="1:30" ht="14" x14ac:dyDescent="0.15">
      <c r="A143" s="3" t="s">
        <v>572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7820.69</v>
      </c>
      <c r="Z143" s="7">
        <v>1354.31</v>
      </c>
      <c r="AC143" s="7">
        <v>0</v>
      </c>
      <c r="AD143" s="7">
        <v>0</v>
      </c>
    </row>
  </sheetData>
  <mergeCells count="3">
    <mergeCell ref="B9:C9"/>
    <mergeCell ref="E9:H9"/>
    <mergeCell ref="AA9:A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BE5C-9AD8-4B26-9783-919E84767922}">
  <dimension ref="A1:H148"/>
  <sheetViews>
    <sheetView tabSelected="1" workbookViewId="0">
      <selection activeCell="O19" sqref="O19"/>
    </sheetView>
  </sheetViews>
  <sheetFormatPr baseColWidth="10" defaultColWidth="8" defaultRowHeight="13" x14ac:dyDescent="0.15"/>
  <cols>
    <col min="1" max="6" width="23.5" customWidth="1"/>
    <col min="7" max="7" width="37.33203125" customWidth="1"/>
    <col min="8" max="8" width="37.5" customWidth="1"/>
  </cols>
  <sheetData>
    <row r="1" spans="1:8" x14ac:dyDescent="0.15">
      <c r="A1" s="5" t="s">
        <v>0</v>
      </c>
      <c r="B1" s="5"/>
      <c r="C1" s="5"/>
      <c r="D1" s="5"/>
      <c r="E1" s="5"/>
      <c r="F1" s="5"/>
    </row>
    <row r="2" spans="1:8" ht="14" x14ac:dyDescent="0.15">
      <c r="A2" s="4" t="s">
        <v>1</v>
      </c>
      <c r="B2" s="3" t="s">
        <v>2</v>
      </c>
    </row>
    <row r="3" spans="1:8" ht="28" x14ac:dyDescent="0.15">
      <c r="A3" s="4" t="s">
        <v>3</v>
      </c>
      <c r="B3" s="3" t="s">
        <v>4</v>
      </c>
    </row>
    <row r="4" spans="1:8" ht="14" x14ac:dyDescent="0.15">
      <c r="A4" s="4" t="s">
        <v>5</v>
      </c>
      <c r="B4" s="3" t="s">
        <v>6</v>
      </c>
    </row>
    <row r="5" spans="1:8" ht="14" x14ac:dyDescent="0.15">
      <c r="A5" s="4" t="s">
        <v>7</v>
      </c>
      <c r="B5" s="3" t="s">
        <v>8</v>
      </c>
    </row>
    <row r="6" spans="1:8" x14ac:dyDescent="0.15">
      <c r="A6" s="4" t="s">
        <v>9</v>
      </c>
      <c r="B6" s="6" t="s">
        <v>10</v>
      </c>
    </row>
    <row r="7" spans="1:8" x14ac:dyDescent="0.15">
      <c r="A7" s="4" t="s">
        <v>11</v>
      </c>
      <c r="B7" s="3"/>
    </row>
    <row r="8" spans="1:8" x14ac:dyDescent="0.15">
      <c r="A8" s="4" t="s">
        <v>12</v>
      </c>
      <c r="B8" s="3"/>
    </row>
    <row r="9" spans="1:8" x14ac:dyDescent="0.15">
      <c r="A9" s="2"/>
      <c r="B9" s="18"/>
      <c r="C9" s="18"/>
      <c r="D9" s="18"/>
      <c r="E9" s="18"/>
      <c r="F9" s="18"/>
    </row>
    <row r="10" spans="1:8" ht="14" x14ac:dyDescent="0.15">
      <c r="A10" s="2" t="s">
        <v>14</v>
      </c>
      <c r="B10" s="2" t="s">
        <v>15</v>
      </c>
      <c r="C10" s="2" t="s">
        <v>16</v>
      </c>
      <c r="D10" s="2" t="s">
        <v>18</v>
      </c>
      <c r="E10" s="2" t="s">
        <v>19</v>
      </c>
      <c r="F10" s="2" t="s">
        <v>21</v>
      </c>
      <c r="G10" s="2" t="s">
        <v>573</v>
      </c>
      <c r="H10" s="2" t="s">
        <v>574</v>
      </c>
    </row>
    <row r="11" spans="1:8" ht="14" x14ac:dyDescent="0.15">
      <c r="A11" s="3" t="s">
        <v>44</v>
      </c>
      <c r="B11" s="3" t="s">
        <v>45</v>
      </c>
      <c r="C11" s="3" t="s">
        <v>46</v>
      </c>
      <c r="D11" s="1">
        <v>45019</v>
      </c>
      <c r="E11" s="1"/>
      <c r="F11" s="7">
        <v>38.409999999999997</v>
      </c>
      <c r="G11">
        <f>VLOOKUP(A11,[1]Sheet1!$C:$J,8,FALSE)</f>
        <v>48.36</v>
      </c>
      <c r="H11">
        <f>VLOOKUP(A11,[2]Sheet1!$C:$J,8,FALSE)</f>
        <v>75.319999999999993</v>
      </c>
    </row>
    <row r="12" spans="1:8" ht="14" x14ac:dyDescent="0.15">
      <c r="A12" s="3" t="s">
        <v>48</v>
      </c>
      <c r="B12" s="3" t="s">
        <v>49</v>
      </c>
      <c r="C12" s="3" t="s">
        <v>50</v>
      </c>
      <c r="D12" s="1">
        <v>43542</v>
      </c>
      <c r="E12" s="1"/>
      <c r="F12" s="7">
        <v>42.11</v>
      </c>
      <c r="G12">
        <f>VLOOKUP(A12,[1]Sheet1!$C:$J,8,FALSE)</f>
        <v>52.36</v>
      </c>
    </row>
    <row r="13" spans="1:8" ht="14" x14ac:dyDescent="0.15">
      <c r="A13" s="3" t="s">
        <v>52</v>
      </c>
      <c r="B13" s="3" t="s">
        <v>53</v>
      </c>
      <c r="C13" s="3" t="s">
        <v>54</v>
      </c>
      <c r="D13" s="1">
        <v>42485</v>
      </c>
      <c r="E13" s="1"/>
      <c r="F13" s="7">
        <v>42.11</v>
      </c>
      <c r="G13">
        <f>VLOOKUP(A13,[1]Sheet1!$C:$J,8,FALSE)</f>
        <v>52.36</v>
      </c>
      <c r="H13">
        <f>VLOOKUP(A13,[2]Sheet1!$C:$J,8,FALSE)</f>
        <v>75.319999999999993</v>
      </c>
    </row>
    <row r="14" spans="1:8" ht="14" x14ac:dyDescent="0.15">
      <c r="A14" s="3" t="s">
        <v>56</v>
      </c>
      <c r="B14" s="3" t="s">
        <v>57</v>
      </c>
      <c r="C14" s="3" t="s">
        <v>58</v>
      </c>
      <c r="D14" s="1">
        <v>31341</v>
      </c>
      <c r="E14" s="1">
        <v>46033</v>
      </c>
      <c r="F14" s="7">
        <v>45.01</v>
      </c>
      <c r="G14">
        <f>VLOOKUP(A14,[1]Sheet1!$C:$J,8,FALSE)</f>
        <v>0</v>
      </c>
      <c r="H14">
        <f>VLOOKUP(A14,[2]Sheet1!$C:$J,8,FALSE)</f>
        <v>0</v>
      </c>
    </row>
    <row r="15" spans="1:8" ht="14" x14ac:dyDescent="0.15">
      <c r="A15" s="3" t="s">
        <v>60</v>
      </c>
      <c r="B15" s="3" t="s">
        <v>61</v>
      </c>
      <c r="C15" s="3" t="s">
        <v>58</v>
      </c>
      <c r="D15" s="1">
        <v>33770</v>
      </c>
      <c r="E15" s="1"/>
      <c r="F15" s="7">
        <v>42.11</v>
      </c>
      <c r="G15">
        <f>VLOOKUP(A15,[1]Sheet1!$C:$J,8,FALSE)</f>
        <v>52.36</v>
      </c>
    </row>
    <row r="16" spans="1:8" ht="14" x14ac:dyDescent="0.15">
      <c r="A16" s="3" t="s">
        <v>64</v>
      </c>
      <c r="B16" s="3" t="s">
        <v>65</v>
      </c>
      <c r="C16" s="3" t="s">
        <v>66</v>
      </c>
      <c r="D16" s="1">
        <v>45929</v>
      </c>
      <c r="E16" s="1"/>
      <c r="F16" s="7">
        <v>32.75</v>
      </c>
      <c r="G16">
        <f>VLOOKUP(A16,[1]Sheet1!$C:$J,8,FALSE)</f>
        <v>42.25</v>
      </c>
    </row>
    <row r="17" spans="1:8" ht="14" x14ac:dyDescent="0.15">
      <c r="A17" s="3" t="s">
        <v>68</v>
      </c>
      <c r="B17" s="3" t="s">
        <v>69</v>
      </c>
      <c r="C17" s="3" t="s">
        <v>70</v>
      </c>
      <c r="D17" s="1">
        <v>39671</v>
      </c>
      <c r="E17" s="1"/>
      <c r="F17" s="7">
        <v>45.01</v>
      </c>
      <c r="G17">
        <f>VLOOKUP(A17,[1]Sheet1!$C:$J,8,FALSE)</f>
        <v>55.49</v>
      </c>
      <c r="H17">
        <f>VLOOKUP(A17,[2]Sheet1!$C:$J,8,FALSE)</f>
        <v>75.319999999999993</v>
      </c>
    </row>
    <row r="18" spans="1:8" ht="14" x14ac:dyDescent="0.15">
      <c r="A18" s="3" t="s">
        <v>72</v>
      </c>
      <c r="B18" s="3" t="s">
        <v>73</v>
      </c>
      <c r="C18" s="3" t="s">
        <v>74</v>
      </c>
      <c r="D18" s="1">
        <v>42135</v>
      </c>
      <c r="E18" s="1"/>
      <c r="F18" s="7">
        <v>37.51</v>
      </c>
      <c r="G18">
        <f>VLOOKUP(A18,[1]Sheet1!$C:$J,8,FALSE)</f>
        <v>47.39</v>
      </c>
      <c r="H18">
        <f>VLOOKUP(A18,[2]Sheet1!$C:$J,8,FALSE)</f>
        <v>75.319999999999993</v>
      </c>
    </row>
    <row r="19" spans="1:8" ht="14" x14ac:dyDescent="0.15">
      <c r="A19" s="3" t="s">
        <v>76</v>
      </c>
      <c r="B19" s="3" t="s">
        <v>61</v>
      </c>
      <c r="C19" s="3" t="s">
        <v>78</v>
      </c>
      <c r="D19" s="1">
        <v>44830</v>
      </c>
      <c r="E19" s="1"/>
      <c r="F19" s="7">
        <v>25.39</v>
      </c>
      <c r="G19">
        <f>VLOOKUP(A19,[1]Sheet1!$C:$J,8,FALSE)</f>
        <v>34.299999999999997</v>
      </c>
      <c r="H19">
        <f>VLOOKUP(A19,[2]Sheet1!$C:$J,8,FALSE)</f>
        <v>75.319999999999993</v>
      </c>
    </row>
    <row r="20" spans="1:8" ht="14" x14ac:dyDescent="0.15">
      <c r="A20" s="3" t="s">
        <v>80</v>
      </c>
      <c r="B20" s="3" t="s">
        <v>81</v>
      </c>
      <c r="C20" s="3" t="s">
        <v>82</v>
      </c>
      <c r="D20" s="1">
        <v>43906</v>
      </c>
      <c r="E20" s="1"/>
      <c r="F20" s="7">
        <v>31.89</v>
      </c>
      <c r="G20">
        <f>VLOOKUP(A20,[1]Sheet1!$C:$J,8,FALSE)</f>
        <v>41.32</v>
      </c>
      <c r="H20">
        <f>VLOOKUP(A20,[2]Sheet1!$C:$J,8,FALSE)</f>
        <v>0</v>
      </c>
    </row>
    <row r="21" spans="1:8" ht="14" x14ac:dyDescent="0.15">
      <c r="A21" s="3" t="s">
        <v>84</v>
      </c>
      <c r="B21" s="3" t="s">
        <v>85</v>
      </c>
      <c r="C21" s="3" t="s">
        <v>86</v>
      </c>
      <c r="D21" s="1">
        <v>43500</v>
      </c>
      <c r="E21" s="1"/>
      <c r="F21" s="7">
        <v>42.11</v>
      </c>
      <c r="G21">
        <f>VLOOKUP(A21,[1]Sheet1!$C:$J,8,FALSE)</f>
        <v>52.36</v>
      </c>
      <c r="H21">
        <f>VLOOKUP(A21,[2]Sheet1!$C:$J,8,FALSE)</f>
        <v>93.24</v>
      </c>
    </row>
    <row r="22" spans="1:8" ht="14" x14ac:dyDescent="0.15">
      <c r="A22" s="3" t="s">
        <v>88</v>
      </c>
      <c r="B22" s="3" t="s">
        <v>89</v>
      </c>
      <c r="C22" s="3" t="s">
        <v>90</v>
      </c>
      <c r="D22" s="1">
        <v>43766</v>
      </c>
      <c r="E22" s="1"/>
      <c r="F22" s="7">
        <v>40.33</v>
      </c>
      <c r="G22">
        <f>VLOOKUP(A22,[1]Sheet1!$C:$J,8,FALSE)</f>
        <v>50.44</v>
      </c>
    </row>
    <row r="23" spans="1:8" ht="14" x14ac:dyDescent="0.15">
      <c r="A23" s="3" t="s">
        <v>92</v>
      </c>
      <c r="B23" s="3" t="s">
        <v>93</v>
      </c>
      <c r="C23" s="3" t="s">
        <v>94</v>
      </c>
      <c r="D23" s="1">
        <v>45943</v>
      </c>
      <c r="E23" s="1"/>
      <c r="F23" s="7">
        <v>37.51</v>
      </c>
      <c r="G23">
        <f>VLOOKUP(A23,[1]Sheet1!$C:$J,8,FALSE)</f>
        <v>47.39</v>
      </c>
      <c r="H23">
        <f>VLOOKUP(A23,[2]Sheet1!$C:$J,8,FALSE)</f>
        <v>36.11</v>
      </c>
    </row>
    <row r="24" spans="1:8" ht="14" x14ac:dyDescent="0.15">
      <c r="A24" s="3" t="s">
        <v>96</v>
      </c>
      <c r="B24" s="3" t="s">
        <v>97</v>
      </c>
      <c r="C24" s="3" t="s">
        <v>98</v>
      </c>
      <c r="D24" s="1">
        <v>45670</v>
      </c>
      <c r="E24" s="1">
        <v>45864</v>
      </c>
      <c r="F24" s="7">
        <v>25.39</v>
      </c>
      <c r="G24">
        <f>VLOOKUP(A24,[1]Sheet1!$C:$J,8,FALSE)</f>
        <v>0</v>
      </c>
      <c r="H24">
        <f>VLOOKUP(A24,[2]Sheet1!$C:$J,8,FALSE)</f>
        <v>0</v>
      </c>
    </row>
    <row r="25" spans="1:8" ht="14" x14ac:dyDescent="0.15">
      <c r="A25" s="3" t="s">
        <v>100</v>
      </c>
      <c r="B25" s="3" t="s">
        <v>101</v>
      </c>
      <c r="C25" s="3" t="s">
        <v>102</v>
      </c>
      <c r="D25" s="1">
        <v>39538</v>
      </c>
      <c r="E25" s="1"/>
      <c r="F25" s="7">
        <v>25.39</v>
      </c>
      <c r="G25">
        <f>VLOOKUP(A25,[1]Sheet1!$C:$J,8,FALSE)</f>
        <v>34.299999999999997</v>
      </c>
    </row>
    <row r="26" spans="1:8" ht="14" x14ac:dyDescent="0.15">
      <c r="A26" s="3" t="s">
        <v>104</v>
      </c>
      <c r="B26" s="3" t="s">
        <v>105</v>
      </c>
      <c r="C26" s="3" t="s">
        <v>106</v>
      </c>
      <c r="D26" s="1">
        <v>43682</v>
      </c>
      <c r="E26" s="1"/>
      <c r="F26" s="7">
        <v>27.36</v>
      </c>
      <c r="G26">
        <f>VLOOKUP(A26,[1]Sheet1!$C:$J,8,FALSE)</f>
        <v>36.43</v>
      </c>
      <c r="H26">
        <f>VLOOKUP(A26,[2]Sheet1!$C:$J,8,FALSE)</f>
        <v>75.319999999999993</v>
      </c>
    </row>
    <row r="27" spans="1:8" ht="14" x14ac:dyDescent="0.15">
      <c r="A27" s="3" t="s">
        <v>108</v>
      </c>
      <c r="B27" s="3" t="s">
        <v>109</v>
      </c>
      <c r="C27" s="3" t="s">
        <v>110</v>
      </c>
      <c r="D27" s="1">
        <v>46090</v>
      </c>
      <c r="E27" s="1"/>
      <c r="F27" s="7">
        <v>25.39</v>
      </c>
      <c r="G27">
        <f>VLOOKUP(A27,[1]Sheet1!$C:$J,8,FALSE)</f>
        <v>34.299999999999997</v>
      </c>
    </row>
    <row r="28" spans="1:8" ht="14" x14ac:dyDescent="0.15">
      <c r="A28" s="3" t="s">
        <v>112</v>
      </c>
      <c r="B28" s="3" t="s">
        <v>89</v>
      </c>
      <c r="C28" s="3" t="s">
        <v>114</v>
      </c>
      <c r="D28" s="1">
        <v>44634</v>
      </c>
      <c r="E28" s="1"/>
      <c r="F28" s="7">
        <v>32.75</v>
      </c>
      <c r="G28">
        <f>VLOOKUP(A28,[1]Sheet1!$C:$J,8,FALSE)</f>
        <v>42.25</v>
      </c>
    </row>
    <row r="29" spans="1:8" ht="14" x14ac:dyDescent="0.15">
      <c r="A29" s="3" t="s">
        <v>116</v>
      </c>
      <c r="B29" s="3" t="s">
        <v>117</v>
      </c>
      <c r="C29" s="3" t="s">
        <v>118</v>
      </c>
      <c r="D29" s="1">
        <v>41211</v>
      </c>
      <c r="E29" s="1"/>
      <c r="F29" s="7">
        <v>40.33</v>
      </c>
      <c r="G29">
        <f>VLOOKUP(A29,[1]Sheet1!$C:$J,8,FALSE)</f>
        <v>50.44</v>
      </c>
    </row>
    <row r="30" spans="1:8" ht="14" x14ac:dyDescent="0.15">
      <c r="A30" s="3" t="s">
        <v>120</v>
      </c>
      <c r="B30" s="3" t="s">
        <v>121</v>
      </c>
      <c r="C30" s="3" t="s">
        <v>122</v>
      </c>
      <c r="D30" s="1">
        <v>45090</v>
      </c>
      <c r="E30" s="1"/>
      <c r="F30" s="7">
        <v>30.54</v>
      </c>
      <c r="G30">
        <f>VLOOKUP(A30,[1]Sheet1!$C:$J,8,FALSE)</f>
        <v>39.86</v>
      </c>
    </row>
    <row r="31" spans="1:8" ht="14" x14ac:dyDescent="0.15">
      <c r="A31" s="3" t="s">
        <v>124</v>
      </c>
      <c r="B31" s="3" t="s">
        <v>97</v>
      </c>
      <c r="C31" s="3" t="s">
        <v>126</v>
      </c>
      <c r="D31" s="1">
        <v>45950</v>
      </c>
      <c r="E31" s="1"/>
      <c r="F31" s="7">
        <v>25.07</v>
      </c>
      <c r="G31">
        <f>VLOOKUP(A31,[1]Sheet1!$C:$J,8,FALSE)</f>
        <v>33.96</v>
      </c>
    </row>
    <row r="32" spans="1:8" ht="14" x14ac:dyDescent="0.15">
      <c r="A32" s="3" t="s">
        <v>128</v>
      </c>
      <c r="B32" s="3" t="s">
        <v>129</v>
      </c>
      <c r="C32" s="3" t="s">
        <v>130</v>
      </c>
      <c r="D32" s="1">
        <v>45313</v>
      </c>
      <c r="E32" s="1"/>
      <c r="F32" s="7">
        <v>25.07</v>
      </c>
      <c r="G32">
        <f>VLOOKUP(A32,[1]Sheet1!$C:$J,8,FALSE)</f>
        <v>33.96</v>
      </c>
    </row>
    <row r="33" spans="1:8" ht="14" x14ac:dyDescent="0.15">
      <c r="A33" s="3" t="s">
        <v>132</v>
      </c>
      <c r="B33" s="3" t="s">
        <v>109</v>
      </c>
      <c r="C33" s="3" t="s">
        <v>134</v>
      </c>
      <c r="D33" s="1">
        <v>41197</v>
      </c>
      <c r="E33" s="1">
        <v>46052</v>
      </c>
      <c r="F33" s="7">
        <v>43.9</v>
      </c>
      <c r="G33">
        <f>VLOOKUP(A33,[1]Sheet1!$C:$J,8,FALSE)</f>
        <v>0</v>
      </c>
      <c r="H33">
        <f>VLOOKUP(A33,[2]Sheet1!$C:$J,8,FALSE)</f>
        <v>0</v>
      </c>
    </row>
    <row r="34" spans="1:8" ht="14" x14ac:dyDescent="0.15">
      <c r="A34" s="3" t="s">
        <v>136</v>
      </c>
      <c r="B34" s="3" t="s">
        <v>121</v>
      </c>
      <c r="C34" s="3" t="s">
        <v>138</v>
      </c>
      <c r="D34" s="1">
        <v>43892</v>
      </c>
      <c r="E34" s="1"/>
      <c r="F34" s="7">
        <v>33.159999999999997</v>
      </c>
      <c r="G34">
        <f>VLOOKUP(A34,[1]Sheet1!$C:$J,8,FALSE)</f>
        <v>42.69</v>
      </c>
    </row>
    <row r="35" spans="1:8" ht="14" x14ac:dyDescent="0.15">
      <c r="A35" s="3" t="s">
        <v>140</v>
      </c>
      <c r="B35" s="3" t="s">
        <v>141</v>
      </c>
      <c r="C35" s="3" t="s">
        <v>142</v>
      </c>
      <c r="D35" s="1">
        <v>44949</v>
      </c>
      <c r="E35" s="1"/>
      <c r="F35" s="7">
        <v>25.39</v>
      </c>
      <c r="G35">
        <f>VLOOKUP(A35,[1]Sheet1!$C:$J,8,FALSE)</f>
        <v>34.299999999999997</v>
      </c>
      <c r="H35">
        <f>VLOOKUP(A35,[2]Sheet1!$C:$J,8,FALSE)</f>
        <v>27.69</v>
      </c>
    </row>
    <row r="36" spans="1:8" ht="14" x14ac:dyDescent="0.15">
      <c r="A36" s="3" t="s">
        <v>144</v>
      </c>
      <c r="B36" s="3" t="s">
        <v>145</v>
      </c>
      <c r="C36" s="3" t="s">
        <v>146</v>
      </c>
      <c r="D36" s="1">
        <v>38184</v>
      </c>
      <c r="E36" s="1"/>
      <c r="F36" s="7">
        <v>40.119999999999997</v>
      </c>
      <c r="G36">
        <f>VLOOKUP(A36,[1]Sheet1!$C:$J,8,FALSE)</f>
        <v>50.21</v>
      </c>
    </row>
    <row r="37" spans="1:8" ht="14" x14ac:dyDescent="0.15">
      <c r="A37" s="3" t="s">
        <v>148</v>
      </c>
      <c r="B37" s="3" t="s">
        <v>149</v>
      </c>
      <c r="C37" s="3" t="s">
        <v>150</v>
      </c>
      <c r="D37" s="1">
        <v>39475</v>
      </c>
      <c r="E37" s="1"/>
      <c r="F37" s="7">
        <v>30.54</v>
      </c>
      <c r="G37">
        <f>VLOOKUP(A37,[1]Sheet1!$C:$J,8,FALSE)</f>
        <v>39.86</v>
      </c>
      <c r="H37">
        <f>VLOOKUP(A37,[2]Sheet1!$C:$J,8,FALSE)</f>
        <v>36.11</v>
      </c>
    </row>
    <row r="38" spans="1:8" ht="14" x14ac:dyDescent="0.15">
      <c r="A38" s="3" t="s">
        <v>152</v>
      </c>
      <c r="B38" s="3" t="s">
        <v>153</v>
      </c>
      <c r="C38" s="3" t="s">
        <v>154</v>
      </c>
      <c r="D38" s="1">
        <v>45761</v>
      </c>
      <c r="E38" s="1"/>
      <c r="F38" s="7">
        <v>25.39</v>
      </c>
      <c r="G38">
        <f>VLOOKUP(A38,[1]Sheet1!$C:$J,8,FALSE)</f>
        <v>34.299999999999997</v>
      </c>
    </row>
    <row r="39" spans="1:8" ht="14" x14ac:dyDescent="0.15">
      <c r="A39" s="3" t="s">
        <v>156</v>
      </c>
      <c r="B39" s="3" t="s">
        <v>157</v>
      </c>
      <c r="C39" s="3" t="s">
        <v>158</v>
      </c>
      <c r="D39" s="1">
        <v>37389</v>
      </c>
      <c r="E39" s="1"/>
      <c r="F39" s="7">
        <v>42.88</v>
      </c>
      <c r="G39">
        <f>VLOOKUP(A39,[1]Sheet1!$C:$J,8,FALSE)</f>
        <v>53.19</v>
      </c>
      <c r="H39">
        <f>VLOOKUP(A39,[2]Sheet1!$C:$J,8,FALSE)</f>
        <v>63.8</v>
      </c>
    </row>
    <row r="40" spans="1:8" ht="14" x14ac:dyDescent="0.15">
      <c r="A40" s="3" t="s">
        <v>160</v>
      </c>
      <c r="B40" s="3" t="s">
        <v>161</v>
      </c>
      <c r="C40" s="3" t="s">
        <v>162</v>
      </c>
      <c r="D40" s="1">
        <v>38229</v>
      </c>
      <c r="E40" s="1">
        <v>46115</v>
      </c>
      <c r="F40" s="7">
        <v>43.9</v>
      </c>
      <c r="G40">
        <f>VLOOKUP(A40,[1]Sheet1!$C:$J,8,FALSE)</f>
        <v>0</v>
      </c>
      <c r="H40">
        <f>VLOOKUP(A40,[2]Sheet1!$C:$J,8,FALSE)</f>
        <v>0</v>
      </c>
    </row>
    <row r="41" spans="1:8" ht="14" x14ac:dyDescent="0.15">
      <c r="A41" s="3" t="s">
        <v>164</v>
      </c>
      <c r="B41" s="3" t="s">
        <v>165</v>
      </c>
      <c r="C41" s="3" t="s">
        <v>166</v>
      </c>
      <c r="D41" s="1">
        <v>45768</v>
      </c>
      <c r="E41" s="1"/>
      <c r="F41" s="7">
        <v>38.409999999999997</v>
      </c>
      <c r="G41">
        <f>VLOOKUP(A41,[1]Sheet1!$C:$J,8,FALSE)</f>
        <v>48.36</v>
      </c>
      <c r="H41">
        <f>VLOOKUP(A41,[2]Sheet1!$C:$J,8,FALSE)</f>
        <v>75.319999999999993</v>
      </c>
    </row>
    <row r="42" spans="1:8" ht="14" x14ac:dyDescent="0.15">
      <c r="A42" s="3" t="s">
        <v>168</v>
      </c>
      <c r="B42" s="3" t="s">
        <v>145</v>
      </c>
      <c r="C42" s="3" t="s">
        <v>170</v>
      </c>
      <c r="D42" s="1">
        <v>36836</v>
      </c>
      <c r="E42" s="1"/>
      <c r="F42" s="7">
        <v>45.01</v>
      </c>
      <c r="G42">
        <f>VLOOKUP(A42,[1]Sheet1!$C:$J,8,FALSE)</f>
        <v>55.49</v>
      </c>
      <c r="H42">
        <f>VLOOKUP(A42,[2]Sheet1!$C:$J,8,FALSE)</f>
        <v>63.8</v>
      </c>
    </row>
    <row r="43" spans="1:8" ht="14" x14ac:dyDescent="0.15">
      <c r="A43" s="3" t="s">
        <v>172</v>
      </c>
      <c r="B43" s="3" t="s">
        <v>173</v>
      </c>
      <c r="C43" s="3" t="s">
        <v>174</v>
      </c>
      <c r="D43" s="1">
        <v>44620</v>
      </c>
      <c r="E43" s="1"/>
      <c r="F43" s="7">
        <v>25.39</v>
      </c>
      <c r="G43">
        <f>VLOOKUP(A43,[1]Sheet1!$C:$J,8,FALSE)</f>
        <v>34.299999999999997</v>
      </c>
      <c r="H43">
        <f>VLOOKUP(A43,[2]Sheet1!$C:$J,8,FALSE)</f>
        <v>27.69</v>
      </c>
    </row>
    <row r="44" spans="1:8" ht="14" x14ac:dyDescent="0.15">
      <c r="A44" s="3" t="s">
        <v>176</v>
      </c>
      <c r="B44" s="3" t="s">
        <v>177</v>
      </c>
      <c r="C44" s="3" t="s">
        <v>178</v>
      </c>
      <c r="D44" s="1">
        <v>45236</v>
      </c>
      <c r="E44" s="1"/>
      <c r="F44" s="7">
        <v>38.409999999999997</v>
      </c>
      <c r="G44">
        <f>VLOOKUP(A44,[1]Sheet1!$C:$J,8,FALSE)</f>
        <v>48.36</v>
      </c>
      <c r="H44">
        <f>VLOOKUP(A44,[2]Sheet1!$C:$J,8,FALSE)</f>
        <v>0</v>
      </c>
    </row>
    <row r="45" spans="1:8" ht="14" x14ac:dyDescent="0.15">
      <c r="A45" s="3" t="s">
        <v>180</v>
      </c>
      <c r="B45" s="3" t="s">
        <v>161</v>
      </c>
      <c r="C45" s="3" t="s">
        <v>182</v>
      </c>
      <c r="D45" s="1">
        <v>37648</v>
      </c>
      <c r="E45" s="1"/>
      <c r="F45" s="7">
        <v>40.33</v>
      </c>
      <c r="G45">
        <f>VLOOKUP(A45,[1]Sheet1!$C:$J,8,FALSE)</f>
        <v>50.44</v>
      </c>
      <c r="H45">
        <f>VLOOKUP(A45,[2]Sheet1!$C:$J,8,FALSE)</f>
        <v>63.8</v>
      </c>
    </row>
    <row r="46" spans="1:8" ht="14" x14ac:dyDescent="0.15">
      <c r="A46" s="3" t="s">
        <v>184</v>
      </c>
      <c r="B46" s="3" t="s">
        <v>149</v>
      </c>
      <c r="C46" s="3" t="s">
        <v>186</v>
      </c>
      <c r="D46" s="1">
        <v>42661</v>
      </c>
      <c r="E46" s="1"/>
      <c r="F46" s="7">
        <v>25.39</v>
      </c>
      <c r="G46">
        <f>VLOOKUP(A46,[1]Sheet1!$C:$J,8,FALSE)</f>
        <v>34.299999999999997</v>
      </c>
      <c r="H46">
        <f>VLOOKUP(A46,[2]Sheet1!$C:$J,8,FALSE)</f>
        <v>27.69</v>
      </c>
    </row>
    <row r="47" spans="1:8" ht="14" x14ac:dyDescent="0.15">
      <c r="A47" s="3" t="s">
        <v>188</v>
      </c>
      <c r="B47" s="3" t="s">
        <v>161</v>
      </c>
      <c r="C47" s="3" t="s">
        <v>190</v>
      </c>
      <c r="D47" s="1">
        <v>34540</v>
      </c>
      <c r="E47" s="1"/>
      <c r="F47" s="7">
        <v>40.33</v>
      </c>
      <c r="G47">
        <f>VLOOKUP(A47,[1]Sheet1!$C:$J,8,FALSE)</f>
        <v>50.44</v>
      </c>
      <c r="H47">
        <f>VLOOKUP(A47,[2]Sheet1!$C:$J,8,FALSE)</f>
        <v>36.11</v>
      </c>
    </row>
    <row r="48" spans="1:8" ht="14" x14ac:dyDescent="0.15">
      <c r="A48" s="3" t="s">
        <v>192</v>
      </c>
      <c r="B48" s="3" t="s">
        <v>193</v>
      </c>
      <c r="C48" s="3" t="s">
        <v>194</v>
      </c>
      <c r="D48" s="1">
        <v>46111</v>
      </c>
      <c r="E48" s="1"/>
      <c r="F48" s="7">
        <v>37.51</v>
      </c>
      <c r="G48">
        <f>VLOOKUP(A48,[1]Sheet1!$C:$J,8,FALSE)</f>
        <v>300</v>
      </c>
    </row>
    <row r="49" spans="1:8" ht="14" x14ac:dyDescent="0.15">
      <c r="A49" s="3" t="s">
        <v>196</v>
      </c>
      <c r="B49" s="3" t="s">
        <v>197</v>
      </c>
      <c r="C49" s="3" t="s">
        <v>198</v>
      </c>
      <c r="D49" s="1">
        <v>41890</v>
      </c>
      <c r="E49" s="1"/>
      <c r="F49" s="7">
        <v>42.11</v>
      </c>
      <c r="G49">
        <f>VLOOKUP(A49,[1]Sheet1!$C:$J,8,FALSE)</f>
        <v>52.36</v>
      </c>
      <c r="H49">
        <f>VLOOKUP(A49,[2]Sheet1!$C:$J,8,FALSE)</f>
        <v>27.69</v>
      </c>
    </row>
    <row r="50" spans="1:8" ht="14" x14ac:dyDescent="0.15">
      <c r="A50" s="3" t="s">
        <v>200</v>
      </c>
      <c r="B50" s="3" t="s">
        <v>201</v>
      </c>
      <c r="C50" s="3" t="s">
        <v>202</v>
      </c>
      <c r="D50" s="1">
        <v>42842</v>
      </c>
      <c r="E50" s="1"/>
      <c r="F50" s="7">
        <v>42.11</v>
      </c>
      <c r="G50">
        <f>VLOOKUP(A50,[1]Sheet1!$C:$J,8,FALSE)</f>
        <v>52.36</v>
      </c>
      <c r="H50">
        <f>VLOOKUP(A50,[2]Sheet1!$C:$J,8,FALSE)</f>
        <v>63.8</v>
      </c>
    </row>
    <row r="51" spans="1:8" ht="14" x14ac:dyDescent="0.15">
      <c r="A51" s="3" t="s">
        <v>204</v>
      </c>
      <c r="B51" s="3" t="s">
        <v>205</v>
      </c>
      <c r="C51" s="3" t="s">
        <v>206</v>
      </c>
      <c r="D51" s="1">
        <v>39064</v>
      </c>
      <c r="E51" s="1"/>
      <c r="F51" s="7">
        <v>30.54</v>
      </c>
      <c r="G51">
        <f>VLOOKUP(A51,[1]Sheet1!$C:$J,8,FALSE)</f>
        <v>39.86</v>
      </c>
      <c r="H51">
        <f>VLOOKUP(A51,[2]Sheet1!$C:$J,8,FALSE)</f>
        <v>0</v>
      </c>
    </row>
    <row r="52" spans="1:8" ht="14" x14ac:dyDescent="0.15">
      <c r="A52" s="3" t="s">
        <v>208</v>
      </c>
      <c r="B52" s="3" t="s">
        <v>209</v>
      </c>
      <c r="C52" s="3" t="s">
        <v>210</v>
      </c>
      <c r="D52" s="1">
        <v>43563</v>
      </c>
      <c r="E52" s="1"/>
      <c r="F52" s="7">
        <v>34.479999999999997</v>
      </c>
      <c r="G52">
        <f>VLOOKUP(A52,[1]Sheet1!$C:$J,8,FALSE)</f>
        <v>44.12</v>
      </c>
      <c r="H52">
        <f>VLOOKUP(A52,[2]Sheet1!$C:$J,8,FALSE)</f>
        <v>14.7</v>
      </c>
    </row>
    <row r="53" spans="1:8" ht="14" x14ac:dyDescent="0.15">
      <c r="A53" s="3" t="s">
        <v>212</v>
      </c>
      <c r="B53" s="3" t="s">
        <v>213</v>
      </c>
      <c r="C53" s="3" t="s">
        <v>214</v>
      </c>
      <c r="D53" s="1">
        <v>40518</v>
      </c>
      <c r="E53" s="1"/>
      <c r="F53" s="7">
        <v>45.01</v>
      </c>
      <c r="G53">
        <f>VLOOKUP(A53,[1]Sheet1!$C:$J,8,FALSE)</f>
        <v>55.49</v>
      </c>
    </row>
    <row r="54" spans="1:8" ht="14" x14ac:dyDescent="0.15">
      <c r="A54" s="3" t="s">
        <v>216</v>
      </c>
      <c r="B54" s="3" t="s">
        <v>217</v>
      </c>
      <c r="C54" s="3" t="s">
        <v>218</v>
      </c>
      <c r="D54" s="1">
        <v>37855</v>
      </c>
      <c r="E54" s="1"/>
      <c r="F54" s="7">
        <v>40.33</v>
      </c>
      <c r="G54">
        <f>VLOOKUP(A54,[1]Sheet1!$C:$J,8,FALSE)</f>
        <v>50.44</v>
      </c>
      <c r="H54">
        <f>VLOOKUP(A54,[2]Sheet1!$C:$J,8,FALSE)</f>
        <v>14.7</v>
      </c>
    </row>
    <row r="55" spans="1:8" ht="14" x14ac:dyDescent="0.15">
      <c r="A55" s="3" t="s">
        <v>220</v>
      </c>
      <c r="B55" s="3" t="s">
        <v>209</v>
      </c>
      <c r="C55" s="3" t="s">
        <v>222</v>
      </c>
      <c r="D55" s="1">
        <v>42870</v>
      </c>
      <c r="E55" s="1"/>
      <c r="F55" s="7">
        <v>27.36</v>
      </c>
      <c r="G55">
        <f>VLOOKUP(A55,[1]Sheet1!$C:$J,8,FALSE)</f>
        <v>36.43</v>
      </c>
      <c r="H55">
        <f>VLOOKUP(A55,[2]Sheet1!$C:$J,8,FALSE)</f>
        <v>75.319999999999993</v>
      </c>
    </row>
    <row r="56" spans="1:8" ht="14" x14ac:dyDescent="0.15">
      <c r="A56" s="3" t="s">
        <v>224</v>
      </c>
      <c r="B56" s="3" t="s">
        <v>225</v>
      </c>
      <c r="C56" s="3" t="s">
        <v>226</v>
      </c>
      <c r="D56" s="1">
        <v>45915</v>
      </c>
      <c r="E56" s="1"/>
      <c r="F56" s="7">
        <v>37.51</v>
      </c>
      <c r="G56">
        <f>VLOOKUP(A56,[1]Sheet1!$C:$J,8,FALSE)</f>
        <v>47.39</v>
      </c>
    </row>
    <row r="57" spans="1:8" ht="14" x14ac:dyDescent="0.15">
      <c r="A57" s="3" t="s">
        <v>228</v>
      </c>
      <c r="B57" s="3" t="s">
        <v>225</v>
      </c>
      <c r="C57" s="3" t="s">
        <v>230</v>
      </c>
      <c r="D57" s="1">
        <v>30560</v>
      </c>
      <c r="E57" s="1"/>
      <c r="F57" s="7">
        <v>42.11</v>
      </c>
      <c r="G57">
        <f>VLOOKUP(A57,[1]Sheet1!$C:$J,8,FALSE)</f>
        <v>52.36</v>
      </c>
      <c r="H57">
        <f>VLOOKUP(A57,[2]Sheet1!$C:$J,8,FALSE)</f>
        <v>63.8</v>
      </c>
    </row>
    <row r="58" spans="1:8" ht="14" x14ac:dyDescent="0.15">
      <c r="A58" s="3" t="s">
        <v>232</v>
      </c>
      <c r="B58" s="3" t="s">
        <v>233</v>
      </c>
      <c r="C58" s="3" t="s">
        <v>234</v>
      </c>
      <c r="D58" s="1">
        <v>45614</v>
      </c>
      <c r="E58" s="1"/>
      <c r="F58" s="7">
        <v>37.51</v>
      </c>
      <c r="G58">
        <f>VLOOKUP(A58,[1]Sheet1!$C:$J,8,FALSE)</f>
        <v>47.39</v>
      </c>
      <c r="H58">
        <f>VLOOKUP(A58,[2]Sheet1!$C:$J,8,FALSE)</f>
        <v>27.69</v>
      </c>
    </row>
    <row r="59" spans="1:8" ht="14" x14ac:dyDescent="0.15">
      <c r="A59" s="3" t="s">
        <v>236</v>
      </c>
      <c r="B59" s="3" t="s">
        <v>237</v>
      </c>
      <c r="C59" s="3" t="s">
        <v>238</v>
      </c>
      <c r="D59" s="1">
        <v>45222</v>
      </c>
      <c r="E59" s="1"/>
      <c r="F59" s="7">
        <v>25.39</v>
      </c>
      <c r="G59">
        <f>VLOOKUP(A59,[1]Sheet1!$C:$J,8,FALSE)</f>
        <v>34.299999999999997</v>
      </c>
      <c r="H59">
        <f>VLOOKUP(A59,[2]Sheet1!$C:$J,8,FALSE)</f>
        <v>75.319999999999993</v>
      </c>
    </row>
    <row r="60" spans="1:8" ht="14" x14ac:dyDescent="0.15">
      <c r="A60" s="3" t="s">
        <v>240</v>
      </c>
      <c r="B60" s="3" t="s">
        <v>237</v>
      </c>
      <c r="C60" s="3" t="s">
        <v>242</v>
      </c>
      <c r="D60" s="1">
        <v>45460</v>
      </c>
      <c r="E60" s="1"/>
      <c r="F60" s="7">
        <v>40.33</v>
      </c>
      <c r="G60">
        <f>VLOOKUP(A60,[1]Sheet1!$C:$J,8,FALSE)</f>
        <v>50.44</v>
      </c>
      <c r="H60">
        <f>VLOOKUP(A60,[2]Sheet1!$C:$J,8,FALSE)</f>
        <v>75.319999999999993</v>
      </c>
    </row>
    <row r="61" spans="1:8" ht="14" x14ac:dyDescent="0.15">
      <c r="A61" s="3" t="s">
        <v>244</v>
      </c>
      <c r="B61" s="3" t="s">
        <v>245</v>
      </c>
      <c r="C61" s="3" t="s">
        <v>246</v>
      </c>
      <c r="D61" s="1">
        <v>41190</v>
      </c>
      <c r="E61" s="1"/>
      <c r="F61" s="7">
        <v>43.9</v>
      </c>
      <c r="G61">
        <f>VLOOKUP(A61,[1]Sheet1!$C:$J,8,FALSE)</f>
        <v>54.29</v>
      </c>
      <c r="H61">
        <f>VLOOKUP(A61,[2]Sheet1!$C:$J,8,FALSE)</f>
        <v>14.7</v>
      </c>
    </row>
    <row r="62" spans="1:8" ht="14" x14ac:dyDescent="0.15">
      <c r="A62" s="3" t="s">
        <v>248</v>
      </c>
      <c r="B62" s="3" t="s">
        <v>245</v>
      </c>
      <c r="C62" s="3" t="s">
        <v>250</v>
      </c>
      <c r="D62" s="1">
        <v>41669</v>
      </c>
      <c r="E62" s="1"/>
      <c r="F62" s="7">
        <v>42.11</v>
      </c>
      <c r="G62">
        <f>VLOOKUP(A62,[1]Sheet1!$C:$J,8,FALSE)</f>
        <v>52.36</v>
      </c>
      <c r="H62">
        <f>VLOOKUP(A62,[2]Sheet1!$C:$J,8,FALSE)</f>
        <v>75.319999999999993</v>
      </c>
    </row>
    <row r="63" spans="1:8" ht="14" x14ac:dyDescent="0.15">
      <c r="A63" s="3" t="s">
        <v>252</v>
      </c>
      <c r="B63" s="3" t="s">
        <v>253</v>
      </c>
      <c r="C63" s="3" t="s">
        <v>121</v>
      </c>
      <c r="D63" s="1">
        <v>45509</v>
      </c>
      <c r="E63" s="1"/>
      <c r="F63" s="7">
        <v>33.159999999999997</v>
      </c>
      <c r="G63">
        <f>VLOOKUP(A63,[1]Sheet1!$C:$J,8,FALSE)</f>
        <v>42.69</v>
      </c>
    </row>
    <row r="64" spans="1:8" ht="14" x14ac:dyDescent="0.15">
      <c r="A64" s="3" t="s">
        <v>256</v>
      </c>
      <c r="B64" s="3" t="s">
        <v>253</v>
      </c>
      <c r="C64" s="3" t="s">
        <v>170</v>
      </c>
      <c r="D64" s="1">
        <v>44676</v>
      </c>
      <c r="E64" s="1"/>
      <c r="F64" s="7">
        <v>37.51</v>
      </c>
      <c r="G64">
        <f>VLOOKUP(A64,[1]Sheet1!$C:$J,8,FALSE)</f>
        <v>47.39</v>
      </c>
      <c r="H64">
        <f>VLOOKUP(A64,[2]Sheet1!$C:$J,8,FALSE)</f>
        <v>75.319999999999993</v>
      </c>
    </row>
    <row r="65" spans="1:8" ht="14" x14ac:dyDescent="0.15">
      <c r="A65" s="3" t="s">
        <v>260</v>
      </c>
      <c r="B65" s="3" t="s">
        <v>261</v>
      </c>
      <c r="C65" s="3" t="s">
        <v>262</v>
      </c>
      <c r="D65" s="1">
        <v>42660</v>
      </c>
      <c r="E65" s="1"/>
      <c r="F65" s="7">
        <v>38.409999999999997</v>
      </c>
      <c r="G65">
        <f>VLOOKUP(A65,[1]Sheet1!$C:$J,8,FALSE)</f>
        <v>48.36</v>
      </c>
      <c r="H65">
        <f>VLOOKUP(A65,[2]Sheet1!$C:$J,8,FALSE)</f>
        <v>36.11</v>
      </c>
    </row>
    <row r="66" spans="1:8" ht="14" x14ac:dyDescent="0.15">
      <c r="A66" s="3" t="s">
        <v>264</v>
      </c>
      <c r="B66" s="3" t="s">
        <v>265</v>
      </c>
      <c r="C66" s="3" t="s">
        <v>266</v>
      </c>
      <c r="D66" s="1">
        <v>38601</v>
      </c>
      <c r="E66" s="1"/>
      <c r="F66" s="7">
        <v>25.39</v>
      </c>
      <c r="G66">
        <f>VLOOKUP(A66,[1]Sheet1!$C:$J,8,FALSE)</f>
        <v>34.299999999999997</v>
      </c>
      <c r="H66">
        <f>VLOOKUP(A66,[2]Sheet1!$C:$J,8,FALSE)</f>
        <v>0</v>
      </c>
    </row>
    <row r="67" spans="1:8" ht="14" x14ac:dyDescent="0.15">
      <c r="A67" s="3" t="s">
        <v>268</v>
      </c>
      <c r="B67" s="3" t="s">
        <v>261</v>
      </c>
      <c r="C67" s="3" t="s">
        <v>270</v>
      </c>
      <c r="D67" s="1">
        <v>27220</v>
      </c>
      <c r="E67" s="1"/>
      <c r="F67" s="7">
        <v>42.11</v>
      </c>
      <c r="G67">
        <f>VLOOKUP(A67,[1]Sheet1!$C:$J,8,FALSE)</f>
        <v>52.36</v>
      </c>
    </row>
    <row r="68" spans="1:8" ht="14" x14ac:dyDescent="0.15">
      <c r="A68" s="3" t="s">
        <v>272</v>
      </c>
      <c r="B68" s="3" t="s">
        <v>273</v>
      </c>
      <c r="C68" s="3" t="s">
        <v>274</v>
      </c>
      <c r="D68" s="1">
        <v>42590</v>
      </c>
      <c r="E68" s="1"/>
      <c r="F68" s="7">
        <v>31.89</v>
      </c>
      <c r="G68">
        <f>VLOOKUP(A68,[1]Sheet1!$C:$J,8,FALSE)</f>
        <v>41.32</v>
      </c>
      <c r="H68">
        <f>VLOOKUP(A68,[2]Sheet1!$C:$J,8,FALSE)</f>
        <v>113.4</v>
      </c>
    </row>
    <row r="69" spans="1:8" ht="14" x14ac:dyDescent="0.15">
      <c r="A69" s="3" t="s">
        <v>276</v>
      </c>
      <c r="B69" s="3" t="s">
        <v>253</v>
      </c>
      <c r="C69" s="3" t="s">
        <v>278</v>
      </c>
      <c r="D69" s="1">
        <v>38593</v>
      </c>
      <c r="E69" s="1"/>
      <c r="F69" s="7">
        <v>40.119999999999997</v>
      </c>
      <c r="G69">
        <f>VLOOKUP(A69,[1]Sheet1!$C:$J,8,FALSE)</f>
        <v>0</v>
      </c>
    </row>
    <row r="70" spans="1:8" ht="14" x14ac:dyDescent="0.15">
      <c r="A70" s="3" t="s">
        <v>280</v>
      </c>
      <c r="B70" s="3" t="s">
        <v>281</v>
      </c>
      <c r="C70" s="3" t="s">
        <v>282</v>
      </c>
      <c r="D70" s="1">
        <v>43311</v>
      </c>
      <c r="E70" s="1"/>
      <c r="F70" s="7">
        <v>25.39</v>
      </c>
      <c r="G70">
        <f>VLOOKUP(A70,[1]Sheet1!$C:$J,8,FALSE)</f>
        <v>34.299999999999997</v>
      </c>
      <c r="H70">
        <f>VLOOKUP(A70,[2]Sheet1!$C:$J,8,FALSE)</f>
        <v>83.96</v>
      </c>
    </row>
    <row r="71" spans="1:8" ht="14" x14ac:dyDescent="0.15">
      <c r="A71" s="3" t="s">
        <v>284</v>
      </c>
      <c r="B71" s="3" t="s">
        <v>285</v>
      </c>
      <c r="C71" s="3" t="s">
        <v>286</v>
      </c>
      <c r="D71" s="1">
        <v>43276</v>
      </c>
      <c r="E71" s="1"/>
      <c r="F71" s="7">
        <v>40.33</v>
      </c>
      <c r="G71">
        <f>VLOOKUP(A71,[1]Sheet1!$C:$J,8,FALSE)</f>
        <v>50.44</v>
      </c>
      <c r="H71">
        <f>VLOOKUP(A71,[2]Sheet1!$C:$J,8,FALSE)</f>
        <v>36.11</v>
      </c>
    </row>
    <row r="72" spans="1:8" ht="14" x14ac:dyDescent="0.15">
      <c r="A72" s="3" t="s">
        <v>288</v>
      </c>
      <c r="B72" s="3" t="s">
        <v>285</v>
      </c>
      <c r="C72" s="3" t="s">
        <v>290</v>
      </c>
      <c r="D72" s="1">
        <v>43241</v>
      </c>
      <c r="E72" s="1"/>
      <c r="F72" s="7">
        <v>42.11</v>
      </c>
      <c r="G72">
        <f>VLOOKUP(A72,[1]Sheet1!$C:$J,8,FALSE)</f>
        <v>52.36</v>
      </c>
      <c r="H72">
        <f>VLOOKUP(A72,[2]Sheet1!$C:$J,8,FALSE)</f>
        <v>63.8</v>
      </c>
    </row>
    <row r="73" spans="1:8" ht="14" x14ac:dyDescent="0.15">
      <c r="A73" s="3" t="s">
        <v>292</v>
      </c>
      <c r="B73" s="3" t="s">
        <v>293</v>
      </c>
      <c r="C73" s="3" t="s">
        <v>294</v>
      </c>
      <c r="D73" s="1">
        <v>45516</v>
      </c>
      <c r="E73" s="1">
        <v>45067</v>
      </c>
      <c r="F73" s="7">
        <v>40.33</v>
      </c>
      <c r="G73">
        <f>VLOOKUP(A73,[1]Sheet1!$C:$J,8,FALSE)</f>
        <v>50.44</v>
      </c>
      <c r="H73">
        <f>VLOOKUP(A73,[2]Sheet1!$C:$J,8,FALSE)</f>
        <v>113.4</v>
      </c>
    </row>
    <row r="74" spans="1:8" ht="14" x14ac:dyDescent="0.15">
      <c r="A74" s="3" t="s">
        <v>296</v>
      </c>
      <c r="B74" s="3" t="s">
        <v>297</v>
      </c>
      <c r="C74" s="3" t="s">
        <v>298</v>
      </c>
      <c r="D74" s="1">
        <v>45768</v>
      </c>
      <c r="E74" s="1"/>
      <c r="F74" s="7">
        <v>30.54</v>
      </c>
      <c r="G74">
        <f>VLOOKUP(A74,[1]Sheet1!$C:$J,8,FALSE)</f>
        <v>39.86</v>
      </c>
      <c r="H74">
        <f>VLOOKUP(A74,[2]Sheet1!$C:$J,8,FALSE)</f>
        <v>27.69</v>
      </c>
    </row>
    <row r="75" spans="1:8" ht="14" x14ac:dyDescent="0.15">
      <c r="A75" s="3" t="s">
        <v>300</v>
      </c>
      <c r="B75" s="3" t="s">
        <v>301</v>
      </c>
      <c r="C75" s="3" t="s">
        <v>302</v>
      </c>
      <c r="D75" s="1">
        <v>44935</v>
      </c>
      <c r="E75" s="1"/>
      <c r="F75" s="7">
        <v>25.39</v>
      </c>
      <c r="G75">
        <f>VLOOKUP(A75,[1]Sheet1!$C:$J,8,FALSE)</f>
        <v>34.299999999999997</v>
      </c>
      <c r="H75">
        <f>VLOOKUP(A75,[2]Sheet1!$C:$J,8,FALSE)</f>
        <v>27.69</v>
      </c>
    </row>
    <row r="76" spans="1:8" ht="14" x14ac:dyDescent="0.15">
      <c r="A76" s="3" t="s">
        <v>304</v>
      </c>
      <c r="B76" s="3" t="s">
        <v>305</v>
      </c>
      <c r="C76" s="3" t="s">
        <v>306</v>
      </c>
      <c r="D76" s="1">
        <v>39414</v>
      </c>
      <c r="E76" s="1"/>
      <c r="F76" s="7">
        <v>45.01</v>
      </c>
      <c r="G76">
        <f>VLOOKUP(A76,[1]Sheet1!$C:$J,8,FALSE)</f>
        <v>55.49</v>
      </c>
      <c r="H76">
        <f>VLOOKUP(A76,[2]Sheet1!$C:$J,8,FALSE)</f>
        <v>36.11</v>
      </c>
    </row>
    <row r="77" spans="1:8" ht="14" x14ac:dyDescent="0.15">
      <c r="A77" s="3" t="s">
        <v>308</v>
      </c>
      <c r="B77" s="3" t="s">
        <v>309</v>
      </c>
      <c r="C77" s="3" t="s">
        <v>310</v>
      </c>
      <c r="D77" s="1">
        <v>37474</v>
      </c>
      <c r="E77" s="1"/>
      <c r="F77" s="7">
        <v>26.69</v>
      </c>
      <c r="G77">
        <f>VLOOKUP(A77,[1]Sheet1!$C:$J,8,FALSE)</f>
        <v>35.71</v>
      </c>
      <c r="H77">
        <f>VLOOKUP(A77,[2]Sheet1!$C:$J,8,FALSE)</f>
        <v>14.7</v>
      </c>
    </row>
    <row r="78" spans="1:8" ht="14" x14ac:dyDescent="0.15">
      <c r="A78" s="3" t="s">
        <v>312</v>
      </c>
      <c r="B78" s="3" t="s">
        <v>313</v>
      </c>
      <c r="C78" s="3" t="s">
        <v>314</v>
      </c>
      <c r="D78" s="1">
        <v>45817</v>
      </c>
      <c r="E78" s="1"/>
      <c r="F78" s="7">
        <v>37.51</v>
      </c>
      <c r="G78">
        <f>VLOOKUP(A78,[1]Sheet1!$C:$J,8,FALSE)</f>
        <v>47.39</v>
      </c>
      <c r="H78">
        <f>VLOOKUP(A78,[2]Sheet1!$C:$J,8,FALSE)</f>
        <v>31.28</v>
      </c>
    </row>
    <row r="79" spans="1:8" ht="14" x14ac:dyDescent="0.15">
      <c r="A79" s="3" t="s">
        <v>316</v>
      </c>
      <c r="B79" s="3" t="s">
        <v>309</v>
      </c>
      <c r="C79" s="3" t="s">
        <v>318</v>
      </c>
      <c r="D79" s="1">
        <v>45516</v>
      </c>
      <c r="E79" s="1"/>
      <c r="F79" s="7">
        <v>33.159999999999997</v>
      </c>
      <c r="G79">
        <f>VLOOKUP(A79,[1]Sheet1!$C:$J,8,FALSE)</f>
        <v>42.69</v>
      </c>
      <c r="H79">
        <f>VLOOKUP(A79,[2]Sheet1!$C:$J,8,FALSE)</f>
        <v>27.69</v>
      </c>
    </row>
    <row r="80" spans="1:8" ht="14" x14ac:dyDescent="0.15">
      <c r="A80" s="3" t="s">
        <v>320</v>
      </c>
      <c r="B80" s="3" t="s">
        <v>321</v>
      </c>
      <c r="C80" s="3" t="s">
        <v>322</v>
      </c>
      <c r="D80" s="1">
        <v>42800</v>
      </c>
      <c r="E80" s="1">
        <v>41958</v>
      </c>
      <c r="F80" s="7">
        <v>42.11</v>
      </c>
      <c r="G80">
        <f>VLOOKUP(A80,[1]Sheet1!$C:$J,8,FALSE)</f>
        <v>52.36</v>
      </c>
      <c r="H80">
        <f>VLOOKUP(A80,[2]Sheet1!$C:$J,8,FALSE)</f>
        <v>75.319999999999993</v>
      </c>
    </row>
    <row r="81" spans="1:8" ht="14" x14ac:dyDescent="0.15">
      <c r="A81" s="3" t="s">
        <v>324</v>
      </c>
      <c r="B81" s="3" t="s">
        <v>325</v>
      </c>
      <c r="C81" s="3" t="s">
        <v>326</v>
      </c>
      <c r="D81" s="1">
        <v>43403</v>
      </c>
      <c r="E81" s="1"/>
      <c r="F81" s="7">
        <v>25.39</v>
      </c>
      <c r="G81">
        <f>VLOOKUP(A81,[1]Sheet1!$C:$J,8,FALSE)</f>
        <v>34.299999999999997</v>
      </c>
      <c r="H81">
        <f>VLOOKUP(A81,[2]Sheet1!$C:$J,8,FALSE)</f>
        <v>27.69</v>
      </c>
    </row>
    <row r="82" spans="1:8" ht="14" x14ac:dyDescent="0.15">
      <c r="A82" s="3" t="s">
        <v>328</v>
      </c>
      <c r="B82" s="3" t="s">
        <v>325</v>
      </c>
      <c r="C82" s="3" t="s">
        <v>330</v>
      </c>
      <c r="D82" s="1">
        <v>45950</v>
      </c>
      <c r="E82" s="1"/>
      <c r="F82" s="7">
        <v>30.54</v>
      </c>
      <c r="G82">
        <f>VLOOKUP(A82,[1]Sheet1!$C:$J,8,FALSE)</f>
        <v>39.86</v>
      </c>
      <c r="H82">
        <f>VLOOKUP(A82,[2]Sheet1!$C:$J,8,FALSE)</f>
        <v>27.69</v>
      </c>
    </row>
    <row r="83" spans="1:8" ht="14" x14ac:dyDescent="0.15">
      <c r="A83" s="3" t="s">
        <v>332</v>
      </c>
      <c r="B83" s="3" t="s">
        <v>333</v>
      </c>
      <c r="C83" s="3" t="s">
        <v>334</v>
      </c>
      <c r="D83" s="1">
        <v>39595</v>
      </c>
      <c r="E83" s="1"/>
      <c r="F83" s="7">
        <v>45.01</v>
      </c>
      <c r="G83">
        <f>VLOOKUP(A83,[1]Sheet1!$C:$J,8,FALSE)</f>
        <v>55.49</v>
      </c>
      <c r="H83">
        <f>VLOOKUP(A83,[2]Sheet1!$C:$J,8,FALSE)</f>
        <v>36.11</v>
      </c>
    </row>
    <row r="84" spans="1:8" ht="14" x14ac:dyDescent="0.15">
      <c r="A84" s="3" t="s">
        <v>336</v>
      </c>
      <c r="B84" s="3" t="s">
        <v>333</v>
      </c>
      <c r="C84" s="3" t="s">
        <v>338</v>
      </c>
      <c r="D84" s="1">
        <v>45789</v>
      </c>
      <c r="E84" s="1"/>
      <c r="F84" s="7">
        <v>38.409999999999997</v>
      </c>
      <c r="G84">
        <f>VLOOKUP(A84,[1]Sheet1!$C:$J,8,FALSE)</f>
        <v>48.36</v>
      </c>
      <c r="H84">
        <f>VLOOKUP(A84,[2]Sheet1!$C:$J,8,FALSE)</f>
        <v>0</v>
      </c>
    </row>
    <row r="85" spans="1:8" ht="14" x14ac:dyDescent="0.15">
      <c r="A85" s="3" t="s">
        <v>340</v>
      </c>
      <c r="B85" s="3" t="s">
        <v>325</v>
      </c>
      <c r="C85" s="3" t="s">
        <v>342</v>
      </c>
      <c r="D85" s="1">
        <v>31734</v>
      </c>
      <c r="E85" s="1"/>
      <c r="F85" s="7">
        <v>42.11</v>
      </c>
      <c r="G85">
        <f>VLOOKUP(A85,[1]Sheet1!$C:$J,8,FALSE)</f>
        <v>52.36</v>
      </c>
    </row>
    <row r="86" spans="1:8" ht="14" x14ac:dyDescent="0.15">
      <c r="A86" s="3" t="s">
        <v>344</v>
      </c>
      <c r="B86" s="3" t="s">
        <v>325</v>
      </c>
      <c r="C86" s="3" t="s">
        <v>346</v>
      </c>
      <c r="D86" s="1">
        <v>35618</v>
      </c>
      <c r="E86" s="1"/>
      <c r="F86" s="7">
        <v>40.119999999999997</v>
      </c>
      <c r="G86">
        <f>VLOOKUP(A86,[1]Sheet1!$C:$J,8,FALSE)</f>
        <v>50.21</v>
      </c>
      <c r="H86">
        <f>VLOOKUP(A86,[2]Sheet1!$C:$J,8,FALSE)</f>
        <v>0</v>
      </c>
    </row>
    <row r="87" spans="1:8" ht="14" x14ac:dyDescent="0.15">
      <c r="A87" s="3" t="s">
        <v>348</v>
      </c>
      <c r="B87" s="3" t="s">
        <v>333</v>
      </c>
      <c r="C87" s="3" t="s">
        <v>350</v>
      </c>
      <c r="D87" s="1">
        <v>45110</v>
      </c>
      <c r="E87" s="1"/>
      <c r="F87" s="7">
        <v>30.54</v>
      </c>
      <c r="G87">
        <f>VLOOKUP(A87,[1]Sheet1!$C:$J,8,FALSE)</f>
        <v>39.86</v>
      </c>
    </row>
    <row r="88" spans="1:8" ht="14" x14ac:dyDescent="0.15">
      <c r="A88" s="3" t="s">
        <v>352</v>
      </c>
      <c r="B88" s="3" t="s">
        <v>325</v>
      </c>
      <c r="C88" s="3" t="s">
        <v>278</v>
      </c>
      <c r="D88" s="1">
        <v>38579</v>
      </c>
      <c r="E88" s="1"/>
      <c r="F88" s="7">
        <v>40.33</v>
      </c>
      <c r="G88">
        <f>VLOOKUP(A88,[1]Sheet1!$C:$J,8,FALSE)</f>
        <v>50.44</v>
      </c>
      <c r="H88">
        <f>VLOOKUP(A88,[2]Sheet1!$C:$J,8,FALSE)</f>
        <v>36.11</v>
      </c>
    </row>
    <row r="89" spans="1:8" ht="14" x14ac:dyDescent="0.15">
      <c r="A89" s="3" t="s">
        <v>356</v>
      </c>
      <c r="B89" s="3" t="s">
        <v>325</v>
      </c>
      <c r="C89" s="3" t="s">
        <v>358</v>
      </c>
      <c r="D89" s="1">
        <v>32097</v>
      </c>
      <c r="E89" s="1"/>
      <c r="F89" s="7">
        <v>40.33</v>
      </c>
      <c r="G89">
        <f>VLOOKUP(A89,[1]Sheet1!$C:$J,8,FALSE)</f>
        <v>50.44</v>
      </c>
    </row>
    <row r="90" spans="1:8" ht="14" x14ac:dyDescent="0.15">
      <c r="A90" s="3" t="s">
        <v>360</v>
      </c>
      <c r="B90" s="3" t="s">
        <v>361</v>
      </c>
      <c r="C90" s="3" t="s">
        <v>362</v>
      </c>
      <c r="D90" s="1">
        <v>45600</v>
      </c>
      <c r="E90" s="1"/>
      <c r="F90" s="7">
        <v>40.33</v>
      </c>
      <c r="G90">
        <f>VLOOKUP(A90,[1]Sheet1!$C:$J,8,FALSE)</f>
        <v>50.44</v>
      </c>
    </row>
    <row r="91" spans="1:8" ht="14" x14ac:dyDescent="0.15">
      <c r="A91" s="3" t="s">
        <v>364</v>
      </c>
      <c r="B91" s="3" t="s">
        <v>309</v>
      </c>
      <c r="C91" s="3" t="s">
        <v>366</v>
      </c>
      <c r="D91" s="1">
        <v>37690</v>
      </c>
      <c r="E91" s="1"/>
      <c r="F91" s="7">
        <v>40.119999999999997</v>
      </c>
      <c r="G91">
        <f>VLOOKUP(A91,[1]Sheet1!$C:$J,8,FALSE)</f>
        <v>50.21</v>
      </c>
      <c r="H91">
        <f>VLOOKUP(A91,[2]Sheet1!$C:$J,8,FALSE)</f>
        <v>83.96</v>
      </c>
    </row>
    <row r="92" spans="1:8" ht="14" x14ac:dyDescent="0.15">
      <c r="A92" s="3" t="s">
        <v>368</v>
      </c>
      <c r="B92" s="3" t="s">
        <v>325</v>
      </c>
      <c r="C92" s="3" t="s">
        <v>370</v>
      </c>
      <c r="D92" s="1">
        <v>39566</v>
      </c>
      <c r="E92" s="1"/>
      <c r="F92" s="7">
        <v>40.33</v>
      </c>
      <c r="G92">
        <f>VLOOKUP(A92,[1]Sheet1!$C:$J,8,FALSE)</f>
        <v>50.44</v>
      </c>
      <c r="H92">
        <f>VLOOKUP(A92,[2]Sheet1!$C:$J,8,FALSE)</f>
        <v>75.319999999999993</v>
      </c>
    </row>
    <row r="93" spans="1:8" ht="14" x14ac:dyDescent="0.15">
      <c r="A93" s="3" t="s">
        <v>372</v>
      </c>
      <c r="B93" s="3" t="s">
        <v>325</v>
      </c>
      <c r="C93" s="3" t="s">
        <v>374</v>
      </c>
      <c r="D93" s="1">
        <v>39118</v>
      </c>
      <c r="E93" s="1"/>
      <c r="F93" s="7">
        <v>37.51</v>
      </c>
      <c r="G93">
        <f>VLOOKUP(A93,[1]Sheet1!$C:$J,8,FALSE)</f>
        <v>0</v>
      </c>
      <c r="H93">
        <f>VLOOKUP(A93,[2]Sheet1!$C:$J,8,FALSE)</f>
        <v>0</v>
      </c>
    </row>
    <row r="94" spans="1:8" ht="14" x14ac:dyDescent="0.15">
      <c r="A94" s="3" t="s">
        <v>376</v>
      </c>
      <c r="B94" s="3" t="s">
        <v>377</v>
      </c>
      <c r="C94" s="3" t="s">
        <v>378</v>
      </c>
      <c r="D94" s="1">
        <v>36145</v>
      </c>
      <c r="E94" s="1">
        <v>46056</v>
      </c>
      <c r="F94" s="7">
        <v>40.119999999999997</v>
      </c>
      <c r="G94">
        <f>VLOOKUP(A94,[1]Sheet1!$C:$J,8,FALSE)</f>
        <v>0</v>
      </c>
      <c r="H94">
        <f>VLOOKUP(A94,[2]Sheet1!$C:$J,8,FALSE)</f>
        <v>0</v>
      </c>
    </row>
    <row r="95" spans="1:8" ht="14" x14ac:dyDescent="0.15">
      <c r="A95" s="3" t="s">
        <v>380</v>
      </c>
      <c r="B95" s="3" t="s">
        <v>309</v>
      </c>
      <c r="C95" s="3" t="s">
        <v>342</v>
      </c>
      <c r="D95" s="1">
        <v>32033</v>
      </c>
      <c r="E95" s="1"/>
      <c r="F95" s="7">
        <v>45.01</v>
      </c>
      <c r="G95">
        <f>VLOOKUP(A95,[1]Sheet1!$C:$J,8,FALSE)</f>
        <v>55.49</v>
      </c>
      <c r="H95">
        <f>VLOOKUP(A95,[2]Sheet1!$C:$J,8,FALSE)</f>
        <v>75.319999999999993</v>
      </c>
    </row>
    <row r="96" spans="1:8" ht="14" x14ac:dyDescent="0.15">
      <c r="A96" s="3" t="s">
        <v>384</v>
      </c>
      <c r="B96" s="3" t="s">
        <v>385</v>
      </c>
      <c r="C96" s="3" t="s">
        <v>386</v>
      </c>
      <c r="D96" s="1">
        <v>45026</v>
      </c>
      <c r="E96" s="1"/>
      <c r="F96" s="7">
        <v>30.54</v>
      </c>
      <c r="G96">
        <f>VLOOKUP(A96,[1]Sheet1!$C:$J,8,FALSE)</f>
        <v>39.86</v>
      </c>
    </row>
    <row r="97" spans="1:8" ht="14" x14ac:dyDescent="0.15">
      <c r="A97" s="3" t="s">
        <v>388</v>
      </c>
      <c r="B97" s="3" t="s">
        <v>389</v>
      </c>
      <c r="C97" s="3" t="s">
        <v>390</v>
      </c>
      <c r="D97" s="1">
        <v>45635</v>
      </c>
      <c r="E97" s="1"/>
      <c r="F97" s="7">
        <v>40.33</v>
      </c>
      <c r="G97">
        <f>VLOOKUP(A97,[1]Sheet1!$C:$J,8,FALSE)</f>
        <v>50.44</v>
      </c>
      <c r="H97">
        <f>VLOOKUP(A97,[2]Sheet1!$C:$J,8,FALSE)</f>
        <v>75.319999999999993</v>
      </c>
    </row>
    <row r="98" spans="1:8" ht="14" x14ac:dyDescent="0.15">
      <c r="A98" s="3" t="s">
        <v>392</v>
      </c>
      <c r="B98" s="3" t="s">
        <v>393</v>
      </c>
      <c r="C98" s="3" t="s">
        <v>394</v>
      </c>
      <c r="D98" s="1">
        <v>43696</v>
      </c>
      <c r="E98" s="1"/>
      <c r="F98" s="7">
        <v>35.700000000000003</v>
      </c>
      <c r="G98">
        <f>VLOOKUP(A98,[1]Sheet1!$C:$J,8,FALSE)</f>
        <v>45.44</v>
      </c>
      <c r="H98">
        <f>VLOOKUP(A98,[2]Sheet1!$C:$J,8,FALSE)</f>
        <v>14.7</v>
      </c>
    </row>
    <row r="99" spans="1:8" ht="14" x14ac:dyDescent="0.15">
      <c r="A99" s="3" t="s">
        <v>396</v>
      </c>
      <c r="B99" s="3" t="s">
        <v>393</v>
      </c>
      <c r="C99" s="3" t="s">
        <v>398</v>
      </c>
      <c r="D99" s="1">
        <v>44949</v>
      </c>
      <c r="E99" s="1"/>
      <c r="F99" s="7">
        <v>37.51</v>
      </c>
      <c r="G99">
        <f>VLOOKUP(A99,[1]Sheet1!$C:$J,8,FALSE)</f>
        <v>47.39</v>
      </c>
    </row>
    <row r="100" spans="1:8" ht="14" x14ac:dyDescent="0.15">
      <c r="A100" s="3" t="s">
        <v>400</v>
      </c>
      <c r="B100" s="3" t="s">
        <v>401</v>
      </c>
      <c r="C100" s="3" t="s">
        <v>402</v>
      </c>
      <c r="D100" s="1">
        <v>44949</v>
      </c>
      <c r="E100" s="1"/>
      <c r="F100" s="7">
        <v>38.409999999999997</v>
      </c>
      <c r="G100">
        <f>VLOOKUP(A100,[1]Sheet1!$C:$J,8,FALSE)</f>
        <v>48.36</v>
      </c>
      <c r="H100">
        <f>VLOOKUP(A100,[2]Sheet1!$C:$J,8,FALSE)</f>
        <v>75.319999999999993</v>
      </c>
    </row>
    <row r="101" spans="1:8" ht="14" x14ac:dyDescent="0.15">
      <c r="A101" s="3" t="s">
        <v>404</v>
      </c>
      <c r="B101" s="3" t="s">
        <v>405</v>
      </c>
      <c r="C101" s="3" t="s">
        <v>406</v>
      </c>
      <c r="D101" s="1">
        <v>45180</v>
      </c>
      <c r="E101" s="1"/>
      <c r="F101" s="7">
        <v>25.39</v>
      </c>
      <c r="G101">
        <f>VLOOKUP(A101,[1]Sheet1!$C:$J,8,FALSE)</f>
        <v>34.299999999999997</v>
      </c>
      <c r="H101">
        <f>VLOOKUP(A101,[2]Sheet1!$C:$J,8,FALSE)</f>
        <v>75.319999999999993</v>
      </c>
    </row>
    <row r="102" spans="1:8" ht="14" x14ac:dyDescent="0.15">
      <c r="A102" s="3" t="s">
        <v>408</v>
      </c>
      <c r="B102" s="3" t="s">
        <v>409</v>
      </c>
      <c r="C102" s="3" t="s">
        <v>410</v>
      </c>
      <c r="D102" s="1">
        <v>43374</v>
      </c>
      <c r="E102" s="1"/>
      <c r="F102" s="7">
        <v>42.11</v>
      </c>
      <c r="G102">
        <f>VLOOKUP(A102,[1]Sheet1!$C:$J,8,FALSE)</f>
        <v>52.36</v>
      </c>
      <c r="H102">
        <f>VLOOKUP(A102,[2]Sheet1!$C:$J,8,FALSE)</f>
        <v>36.11</v>
      </c>
    </row>
    <row r="103" spans="1:8" ht="14" x14ac:dyDescent="0.15">
      <c r="A103" s="3" t="s">
        <v>412</v>
      </c>
      <c r="B103" s="3" t="s">
        <v>413</v>
      </c>
      <c r="C103" s="3" t="s">
        <v>414</v>
      </c>
      <c r="D103" s="1">
        <v>33446</v>
      </c>
      <c r="E103" s="1"/>
      <c r="F103" s="7">
        <v>42.11</v>
      </c>
      <c r="G103">
        <f>VLOOKUP(A103,[1]Sheet1!$C:$J,8,FALSE)</f>
        <v>52.36</v>
      </c>
      <c r="H103">
        <f>VLOOKUP(A103,[2]Sheet1!$C:$J,8,FALSE)</f>
        <v>14.7</v>
      </c>
    </row>
    <row r="104" spans="1:8" ht="14" x14ac:dyDescent="0.15">
      <c r="A104" s="3" t="s">
        <v>416</v>
      </c>
      <c r="B104" s="3" t="s">
        <v>413</v>
      </c>
      <c r="C104" s="3" t="s">
        <v>418</v>
      </c>
      <c r="D104" s="1">
        <v>41205</v>
      </c>
      <c r="E104" s="1"/>
      <c r="F104" s="7">
        <v>27.36</v>
      </c>
      <c r="G104">
        <f>VLOOKUP(A104,[1]Sheet1!$C:$J,8,FALSE)</f>
        <v>36.43</v>
      </c>
      <c r="H104">
        <f>VLOOKUP(A104,[2]Sheet1!$C:$J,8,FALSE)</f>
        <v>75.319999999999993</v>
      </c>
    </row>
    <row r="105" spans="1:8" ht="14" x14ac:dyDescent="0.15">
      <c r="A105" s="3" t="s">
        <v>420</v>
      </c>
      <c r="B105" s="3" t="s">
        <v>421</v>
      </c>
      <c r="C105" s="3" t="s">
        <v>422</v>
      </c>
      <c r="D105" s="1">
        <v>31576</v>
      </c>
      <c r="E105" s="1"/>
      <c r="F105" s="7">
        <v>38.409999999999997</v>
      </c>
      <c r="G105">
        <f>VLOOKUP(A105,[1]Sheet1!$C:$J,8,FALSE)</f>
        <v>48.36</v>
      </c>
      <c r="H105">
        <f>VLOOKUP(A105,[2]Sheet1!$C:$J,8,FALSE)</f>
        <v>0</v>
      </c>
    </row>
    <row r="106" spans="1:8" ht="14" x14ac:dyDescent="0.15">
      <c r="A106" s="3" t="s">
        <v>424</v>
      </c>
      <c r="B106" s="3" t="s">
        <v>377</v>
      </c>
      <c r="C106" s="3" t="s">
        <v>426</v>
      </c>
      <c r="D106" s="1">
        <v>43416</v>
      </c>
      <c r="E106" s="1"/>
      <c r="F106" s="7">
        <v>25.39</v>
      </c>
      <c r="G106">
        <f>VLOOKUP(A106,[1]Sheet1!$C:$J,8,FALSE)</f>
        <v>34.299999999999997</v>
      </c>
      <c r="H106">
        <f>VLOOKUP(A106,[2]Sheet1!$C:$J,8,FALSE)</f>
        <v>36.11</v>
      </c>
    </row>
    <row r="107" spans="1:8" ht="14" x14ac:dyDescent="0.15">
      <c r="A107" s="15" t="s">
        <v>428</v>
      </c>
      <c r="B107" s="15" t="s">
        <v>377</v>
      </c>
      <c r="C107" s="15" t="s">
        <v>430</v>
      </c>
      <c r="D107" s="16">
        <v>43570</v>
      </c>
      <c r="E107" s="16"/>
      <c r="F107" s="17">
        <v>40.33</v>
      </c>
      <c r="G107">
        <v>0</v>
      </c>
    </row>
    <row r="108" spans="1:8" ht="14" x14ac:dyDescent="0.15">
      <c r="A108" s="3" t="s">
        <v>432</v>
      </c>
      <c r="B108" s="3" t="s">
        <v>433</v>
      </c>
      <c r="C108" s="3" t="s">
        <v>434</v>
      </c>
      <c r="D108" s="1">
        <v>42926</v>
      </c>
      <c r="E108" s="1"/>
      <c r="F108" s="7">
        <v>34.479999999999997</v>
      </c>
      <c r="G108">
        <f>VLOOKUP(A108,[1]Sheet1!$C:$J,8,FALSE)</f>
        <v>44.12</v>
      </c>
      <c r="H108">
        <f>VLOOKUP(A108,[2]Sheet1!$C:$J,8,FALSE)</f>
        <v>31.28</v>
      </c>
    </row>
    <row r="109" spans="1:8" ht="14" x14ac:dyDescent="0.15">
      <c r="A109" s="3" t="s">
        <v>436</v>
      </c>
      <c r="B109" s="3" t="s">
        <v>413</v>
      </c>
      <c r="C109" s="3" t="s">
        <v>438</v>
      </c>
      <c r="D109" s="1">
        <v>45642</v>
      </c>
      <c r="E109" s="1"/>
      <c r="F109" s="7">
        <v>38.409999999999997</v>
      </c>
      <c r="G109">
        <f>VLOOKUP(A109,[1]Sheet1!$C:$J,8,FALSE)</f>
        <v>48.36</v>
      </c>
      <c r="H109">
        <f>VLOOKUP(A109,[2]Sheet1!$C:$J,8,FALSE)</f>
        <v>44.88</v>
      </c>
    </row>
    <row r="110" spans="1:8" ht="14" x14ac:dyDescent="0.15">
      <c r="A110" s="3" t="s">
        <v>440</v>
      </c>
      <c r="B110" s="3" t="s">
        <v>413</v>
      </c>
      <c r="C110" s="3" t="s">
        <v>442</v>
      </c>
      <c r="D110" s="1">
        <v>44718</v>
      </c>
      <c r="E110" s="1"/>
      <c r="F110" s="7">
        <v>40.33</v>
      </c>
      <c r="G110">
        <f>VLOOKUP(A110,[1]Sheet1!$C:$J,8,FALSE)</f>
        <v>50.44</v>
      </c>
      <c r="H110">
        <f>VLOOKUP(A110,[2]Sheet1!$C:$J,8,FALSE)</f>
        <v>0</v>
      </c>
    </row>
    <row r="111" spans="1:8" ht="14" x14ac:dyDescent="0.15">
      <c r="A111" s="3" t="s">
        <v>444</v>
      </c>
      <c r="B111" s="3" t="s">
        <v>377</v>
      </c>
      <c r="C111" s="3" t="s">
        <v>446</v>
      </c>
      <c r="D111" s="1">
        <v>45411</v>
      </c>
      <c r="E111" s="1"/>
      <c r="F111" s="7">
        <v>25.39</v>
      </c>
      <c r="G111">
        <f>VLOOKUP(A111,[1]Sheet1!$C:$J,8,FALSE)</f>
        <v>34.299999999999997</v>
      </c>
      <c r="H111">
        <f>VLOOKUP(A111,[2]Sheet1!$C:$J,8,FALSE)</f>
        <v>0</v>
      </c>
    </row>
    <row r="112" spans="1:8" ht="14" x14ac:dyDescent="0.15">
      <c r="A112" s="3" t="s">
        <v>448</v>
      </c>
      <c r="B112" s="3" t="s">
        <v>449</v>
      </c>
      <c r="C112" s="3" t="s">
        <v>450</v>
      </c>
      <c r="D112" s="1">
        <v>44907</v>
      </c>
      <c r="E112" s="1"/>
      <c r="F112" s="7">
        <v>38.409999999999997</v>
      </c>
      <c r="G112">
        <f>VLOOKUP(A112,[1]Sheet1!$C:$J,8,FALSE)</f>
        <v>48.36</v>
      </c>
      <c r="H112">
        <f>VLOOKUP(A112,[2]Sheet1!$C:$J,8,FALSE)</f>
        <v>75.319999999999993</v>
      </c>
    </row>
    <row r="113" spans="1:8" ht="14" x14ac:dyDescent="0.15">
      <c r="A113" s="3" t="s">
        <v>452</v>
      </c>
      <c r="B113" s="3" t="s">
        <v>453</v>
      </c>
      <c r="C113" s="3" t="s">
        <v>454</v>
      </c>
      <c r="D113" s="1">
        <v>38649</v>
      </c>
      <c r="E113" s="1">
        <v>46055</v>
      </c>
      <c r="F113" s="7">
        <v>43.9</v>
      </c>
      <c r="G113">
        <f>VLOOKUP(A113,[1]Sheet1!$C:$J,8,FALSE)</f>
        <v>0</v>
      </c>
      <c r="H113">
        <f>VLOOKUP(A113,[2]Sheet1!$C:$J,8,FALSE)</f>
        <v>0</v>
      </c>
    </row>
    <row r="114" spans="1:8" ht="14" x14ac:dyDescent="0.15">
      <c r="A114" s="3" t="s">
        <v>456</v>
      </c>
      <c r="B114" s="3" t="s">
        <v>377</v>
      </c>
      <c r="C114" s="3" t="s">
        <v>458</v>
      </c>
      <c r="D114" s="1">
        <v>42983</v>
      </c>
      <c r="E114" s="1"/>
      <c r="F114" s="7">
        <v>42.11</v>
      </c>
      <c r="G114">
        <f>VLOOKUP(A114,[1]Sheet1!$C:$J,8,FALSE)</f>
        <v>52.36</v>
      </c>
      <c r="H114">
        <f>VLOOKUP(A114,[2]Sheet1!$C:$J,8,FALSE)</f>
        <v>75.319999999999993</v>
      </c>
    </row>
    <row r="115" spans="1:8" ht="14" x14ac:dyDescent="0.15">
      <c r="A115" s="3" t="s">
        <v>460</v>
      </c>
      <c r="B115" s="3" t="s">
        <v>242</v>
      </c>
      <c r="C115" s="3" t="s">
        <v>462</v>
      </c>
      <c r="D115" s="1">
        <v>44935</v>
      </c>
      <c r="E115" s="1"/>
      <c r="F115" s="7">
        <v>30.54</v>
      </c>
      <c r="G115">
        <f>VLOOKUP(A115,[1]Sheet1!$C:$J,8,FALSE)</f>
        <v>39.86</v>
      </c>
    </row>
    <row r="116" spans="1:8" ht="14" x14ac:dyDescent="0.15">
      <c r="A116" s="3" t="s">
        <v>464</v>
      </c>
      <c r="B116" s="3" t="s">
        <v>465</v>
      </c>
      <c r="C116" s="3" t="s">
        <v>466</v>
      </c>
      <c r="D116" s="1">
        <v>44977</v>
      </c>
      <c r="E116" s="1"/>
      <c r="F116" s="7">
        <v>30.54</v>
      </c>
      <c r="G116">
        <f>VLOOKUP(A116,[1]Sheet1!$C:$J,8,FALSE)</f>
        <v>39.86</v>
      </c>
      <c r="H116">
        <f>VLOOKUP(A116,[2]Sheet1!$C:$J,8,FALSE)</f>
        <v>27.69</v>
      </c>
    </row>
    <row r="117" spans="1:8" ht="14" x14ac:dyDescent="0.15">
      <c r="A117" s="3" t="s">
        <v>468</v>
      </c>
      <c r="B117" s="3" t="s">
        <v>469</v>
      </c>
      <c r="C117" s="3" t="s">
        <v>302</v>
      </c>
      <c r="D117" s="1">
        <v>45908</v>
      </c>
      <c r="E117" s="1">
        <v>45950</v>
      </c>
      <c r="F117" s="7">
        <v>25.39</v>
      </c>
      <c r="G117">
        <v>0</v>
      </c>
      <c r="H117">
        <f>VLOOKUP(A117,[2]Sheet1!$C:$J,8,FALSE)</f>
        <v>0</v>
      </c>
    </row>
    <row r="118" spans="1:8" ht="14" x14ac:dyDescent="0.15">
      <c r="A118" s="3" t="s">
        <v>472</v>
      </c>
      <c r="B118" s="3" t="s">
        <v>473</v>
      </c>
      <c r="C118" s="3" t="s">
        <v>474</v>
      </c>
      <c r="D118" s="1">
        <v>44522</v>
      </c>
      <c r="E118" s="1"/>
      <c r="F118" s="7">
        <v>25.39</v>
      </c>
      <c r="G118">
        <f>VLOOKUP(A118,[1]Sheet1!$C:$J,8,FALSE)</f>
        <v>34.299999999999997</v>
      </c>
      <c r="H118">
        <f>VLOOKUP(A118,[2]Sheet1!$C:$J,8,FALSE)</f>
        <v>27.69</v>
      </c>
    </row>
    <row r="119" spans="1:8" ht="14" x14ac:dyDescent="0.15">
      <c r="A119" s="3" t="s">
        <v>476</v>
      </c>
      <c r="B119" s="3" t="s">
        <v>477</v>
      </c>
      <c r="C119" s="3" t="s">
        <v>478</v>
      </c>
      <c r="D119" s="1">
        <v>45432</v>
      </c>
      <c r="E119" s="1"/>
      <c r="F119" s="7">
        <v>25.39</v>
      </c>
      <c r="G119">
        <f>VLOOKUP(A119,[1]Sheet1!$C:$J,8,FALSE)</f>
        <v>34.299999999999997</v>
      </c>
    </row>
    <row r="120" spans="1:8" ht="14" x14ac:dyDescent="0.15">
      <c r="A120" s="3" t="s">
        <v>480</v>
      </c>
      <c r="B120" s="3" t="s">
        <v>242</v>
      </c>
      <c r="C120" s="3" t="s">
        <v>482</v>
      </c>
      <c r="D120" s="1">
        <v>41192</v>
      </c>
      <c r="E120" s="1"/>
      <c r="F120" s="7">
        <v>42.11</v>
      </c>
      <c r="G120">
        <f>VLOOKUP(A120,[1]Sheet1!$C:$J,8,FALSE)</f>
        <v>52.36</v>
      </c>
      <c r="H120">
        <f>VLOOKUP(A120,[2]Sheet1!$C:$J,8,FALSE)</f>
        <v>75.319999999999993</v>
      </c>
    </row>
    <row r="121" spans="1:8" ht="14" x14ac:dyDescent="0.15">
      <c r="A121" s="3" t="s">
        <v>484</v>
      </c>
      <c r="B121" s="3" t="s">
        <v>485</v>
      </c>
      <c r="C121" s="3" t="s">
        <v>486</v>
      </c>
      <c r="D121" s="1">
        <v>40581</v>
      </c>
      <c r="E121" s="1"/>
      <c r="F121" s="7">
        <v>35.700000000000003</v>
      </c>
      <c r="G121">
        <f>VLOOKUP(A121,[1]Sheet1!$C:$J,8,FALSE)</f>
        <v>45.44</v>
      </c>
    </row>
    <row r="122" spans="1:8" ht="14" x14ac:dyDescent="0.15">
      <c r="A122" s="3" t="s">
        <v>488</v>
      </c>
      <c r="B122" s="3" t="s">
        <v>489</v>
      </c>
      <c r="C122" s="3" t="s">
        <v>490</v>
      </c>
      <c r="D122" s="1">
        <v>45299</v>
      </c>
      <c r="E122" s="1"/>
      <c r="F122" s="7">
        <v>40.33</v>
      </c>
      <c r="G122">
        <f>VLOOKUP(A122,[1]Sheet1!$C:$J,8,FALSE)</f>
        <v>50.44</v>
      </c>
      <c r="H122">
        <f>VLOOKUP(A122,[2]Sheet1!$C:$J,8,FALSE)</f>
        <v>75.319999999999993</v>
      </c>
    </row>
    <row r="123" spans="1:8" ht="14" x14ac:dyDescent="0.15">
      <c r="A123" s="3" t="s">
        <v>492</v>
      </c>
      <c r="B123" s="3" t="s">
        <v>493</v>
      </c>
      <c r="C123" s="3" t="s">
        <v>494</v>
      </c>
      <c r="D123" s="1">
        <v>45572</v>
      </c>
      <c r="E123" s="1"/>
      <c r="F123" s="7">
        <v>25.39</v>
      </c>
      <c r="G123">
        <f>VLOOKUP(A123,[1]Sheet1!$C:$J,8,FALSE)</f>
        <v>34.299999999999997</v>
      </c>
    </row>
    <row r="124" spans="1:8" ht="14" x14ac:dyDescent="0.15">
      <c r="A124" s="3" t="s">
        <v>496</v>
      </c>
      <c r="B124" s="3" t="s">
        <v>453</v>
      </c>
      <c r="C124" s="3" t="s">
        <v>498</v>
      </c>
      <c r="D124" s="1">
        <v>30998</v>
      </c>
      <c r="E124" s="1"/>
      <c r="F124" s="7">
        <v>32.75</v>
      </c>
      <c r="G124">
        <f>VLOOKUP(A124,[1]Sheet1!$C:$J,8,FALSE)</f>
        <v>42.25</v>
      </c>
      <c r="H124">
        <f>VLOOKUP(A124,[2]Sheet1!$C:$J,8,FALSE)</f>
        <v>0</v>
      </c>
    </row>
    <row r="125" spans="1:8" ht="14" x14ac:dyDescent="0.15">
      <c r="A125" s="3" t="s">
        <v>500</v>
      </c>
      <c r="B125" s="3" t="s">
        <v>501</v>
      </c>
      <c r="C125" s="3" t="s">
        <v>502</v>
      </c>
      <c r="D125" s="1">
        <v>45222</v>
      </c>
      <c r="E125" s="1"/>
      <c r="F125" s="7">
        <v>38.409999999999997</v>
      </c>
      <c r="G125">
        <f>VLOOKUP(A125,[1]Sheet1!$C:$J,8,FALSE)</f>
        <v>48.36</v>
      </c>
      <c r="H125">
        <f>VLOOKUP(A125,[2]Sheet1!$C:$J,8,FALSE)</f>
        <v>75.319999999999993</v>
      </c>
    </row>
    <row r="126" spans="1:8" ht="14" x14ac:dyDescent="0.15">
      <c r="A126" s="3" t="s">
        <v>504</v>
      </c>
      <c r="B126" s="3" t="s">
        <v>501</v>
      </c>
      <c r="C126" s="3" t="s">
        <v>506</v>
      </c>
      <c r="D126" s="1">
        <v>45754</v>
      </c>
      <c r="E126" s="1"/>
      <c r="F126" s="7">
        <v>37.51</v>
      </c>
      <c r="G126">
        <f>VLOOKUP(A126,[1]Sheet1!$C:$J,8,FALSE)</f>
        <v>47.39</v>
      </c>
      <c r="H126">
        <f>VLOOKUP(A126,[2]Sheet1!$C:$J,8,FALSE)</f>
        <v>27.69</v>
      </c>
    </row>
    <row r="127" spans="1:8" ht="14" x14ac:dyDescent="0.15">
      <c r="A127" s="3" t="s">
        <v>508</v>
      </c>
      <c r="B127" s="3" t="s">
        <v>509</v>
      </c>
      <c r="C127" s="3" t="s">
        <v>510</v>
      </c>
      <c r="D127" s="1">
        <v>43388</v>
      </c>
      <c r="E127" s="1"/>
      <c r="F127" s="7">
        <v>35.700000000000003</v>
      </c>
      <c r="G127">
        <f>VLOOKUP(A127,[1]Sheet1!$C:$J,8,FALSE)</f>
        <v>45.44</v>
      </c>
      <c r="H127">
        <f>VLOOKUP(A127,[2]Sheet1!$C:$J,8,FALSE)</f>
        <v>75.319999999999993</v>
      </c>
    </row>
    <row r="128" spans="1:8" ht="14" x14ac:dyDescent="0.15">
      <c r="A128" s="3" t="s">
        <v>512</v>
      </c>
      <c r="B128" s="3" t="s">
        <v>513</v>
      </c>
      <c r="C128" s="3" t="s">
        <v>514</v>
      </c>
      <c r="D128" s="1">
        <v>45099</v>
      </c>
      <c r="E128" s="1"/>
      <c r="F128" s="7">
        <v>25.07</v>
      </c>
      <c r="G128">
        <f>VLOOKUP(A128,[1]Sheet1!$C:$J,8,FALSE)</f>
        <v>33.96</v>
      </c>
      <c r="H128">
        <f>VLOOKUP(A128,[2]Sheet1!$C:$J,8,FALSE)</f>
        <v>83.96</v>
      </c>
    </row>
    <row r="129" spans="1:8" ht="14" x14ac:dyDescent="0.15">
      <c r="A129" s="3" t="s">
        <v>516</v>
      </c>
      <c r="B129" s="3" t="s">
        <v>121</v>
      </c>
      <c r="C129" s="3" t="s">
        <v>518</v>
      </c>
      <c r="D129" s="1">
        <v>41851</v>
      </c>
      <c r="E129" s="1"/>
      <c r="F129" s="7">
        <v>42.11</v>
      </c>
      <c r="G129">
        <f>VLOOKUP(A129,[1]Sheet1!$C:$J,8,FALSE)</f>
        <v>52.36</v>
      </c>
      <c r="H129">
        <f>VLOOKUP(A129,[2]Sheet1!$C:$J,8,FALSE)</f>
        <v>0</v>
      </c>
    </row>
    <row r="130" spans="1:8" ht="14" x14ac:dyDescent="0.15">
      <c r="A130" s="3" t="s">
        <v>520</v>
      </c>
      <c r="B130" s="3" t="s">
        <v>521</v>
      </c>
      <c r="C130" s="3" t="s">
        <v>522</v>
      </c>
      <c r="D130" s="1">
        <v>43066</v>
      </c>
      <c r="E130" s="1"/>
      <c r="F130" s="7">
        <v>25.39</v>
      </c>
      <c r="G130">
        <f>VLOOKUP(A130,[1]Sheet1!$C:$J,8,FALSE)</f>
        <v>34.299999999999997</v>
      </c>
      <c r="H130">
        <f>VLOOKUP(A130,[2]Sheet1!$C:$J,8,FALSE)</f>
        <v>83.96</v>
      </c>
    </row>
    <row r="131" spans="1:8" ht="14" x14ac:dyDescent="0.15">
      <c r="A131" s="3" t="s">
        <v>524</v>
      </c>
      <c r="B131" s="3" t="s">
        <v>501</v>
      </c>
      <c r="C131" s="3" t="s">
        <v>526</v>
      </c>
      <c r="D131" s="1">
        <v>43682</v>
      </c>
      <c r="E131" s="1"/>
      <c r="F131" s="7">
        <v>40.33</v>
      </c>
      <c r="G131">
        <f>VLOOKUP(A131,[1]Sheet1!$C:$J,8,FALSE)</f>
        <v>50.44</v>
      </c>
      <c r="H131">
        <f>VLOOKUP(A131,[2]Sheet1!$C:$J,8,FALSE)</f>
        <v>27.69</v>
      </c>
    </row>
    <row r="132" spans="1:8" ht="14" x14ac:dyDescent="0.15">
      <c r="A132" s="3" t="s">
        <v>528</v>
      </c>
      <c r="B132" s="3" t="s">
        <v>529</v>
      </c>
      <c r="C132" s="3" t="s">
        <v>530</v>
      </c>
      <c r="D132" s="1">
        <v>42562</v>
      </c>
      <c r="E132" s="1"/>
      <c r="F132" s="7">
        <v>25.39</v>
      </c>
      <c r="G132">
        <f>VLOOKUP(A132,[1]Sheet1!$C:$J,8,FALSE)</f>
        <v>34.299999999999997</v>
      </c>
      <c r="H132">
        <f>VLOOKUP(A132,[2]Sheet1!$C:$J,8,FALSE)</f>
        <v>63.8</v>
      </c>
    </row>
    <row r="133" spans="1:8" ht="14" x14ac:dyDescent="0.15">
      <c r="A133" s="3" t="s">
        <v>532</v>
      </c>
      <c r="B133" s="3" t="s">
        <v>533</v>
      </c>
      <c r="C133" s="3" t="s">
        <v>534</v>
      </c>
      <c r="D133" s="1">
        <v>44522</v>
      </c>
      <c r="E133" s="1"/>
      <c r="F133" s="7">
        <v>32.75</v>
      </c>
      <c r="G133">
        <f>VLOOKUP(A133,[1]Sheet1!$C:$J,8,FALSE)</f>
        <v>42.25</v>
      </c>
      <c r="H133">
        <f>VLOOKUP(A133,[2]Sheet1!$C:$J,8,FALSE)</f>
        <v>14.7</v>
      </c>
    </row>
    <row r="134" spans="1:8" ht="14" x14ac:dyDescent="0.15">
      <c r="A134" s="3" t="s">
        <v>536</v>
      </c>
      <c r="B134" s="3" t="s">
        <v>537</v>
      </c>
      <c r="C134" s="3" t="s">
        <v>538</v>
      </c>
      <c r="D134" s="1">
        <v>42702</v>
      </c>
      <c r="E134" s="1"/>
      <c r="F134" s="7">
        <v>40.33</v>
      </c>
      <c r="G134">
        <f>VLOOKUP(A134,[1]Sheet1!$C:$J,8,FALSE)</f>
        <v>50.44</v>
      </c>
      <c r="H134">
        <f>VLOOKUP(A134,[2]Sheet1!$C:$J,8,FALSE)</f>
        <v>0</v>
      </c>
    </row>
    <row r="135" spans="1:8" ht="14" x14ac:dyDescent="0.15">
      <c r="A135" s="3" t="s">
        <v>540</v>
      </c>
      <c r="B135" s="3" t="s">
        <v>69</v>
      </c>
      <c r="C135" s="3" t="s">
        <v>542</v>
      </c>
      <c r="D135" s="1">
        <v>42758</v>
      </c>
      <c r="E135" s="1"/>
      <c r="F135" s="7">
        <v>42.11</v>
      </c>
      <c r="G135">
        <f>VLOOKUP(A135,[1]Sheet1!$C:$J,8,FALSE)</f>
        <v>52.36</v>
      </c>
      <c r="H135">
        <f>VLOOKUP(A135,[2]Sheet1!$C:$J,8,FALSE)</f>
        <v>75.319999999999993</v>
      </c>
    </row>
    <row r="136" spans="1:8" ht="14" x14ac:dyDescent="0.15">
      <c r="A136" s="3" t="s">
        <v>544</v>
      </c>
      <c r="B136" s="3" t="s">
        <v>69</v>
      </c>
      <c r="C136" s="3" t="s">
        <v>109</v>
      </c>
      <c r="D136" s="1">
        <v>42156</v>
      </c>
      <c r="E136" s="1"/>
      <c r="F136" s="7">
        <v>42.11</v>
      </c>
      <c r="G136">
        <f>VLOOKUP(A136,[1]Sheet1!$C:$J,8,FALSE)</f>
        <v>52.36</v>
      </c>
      <c r="H136">
        <f>VLOOKUP(A136,[2]Sheet1!$C:$J,8,FALSE)</f>
        <v>36.11</v>
      </c>
    </row>
    <row r="137" spans="1:8" ht="14" x14ac:dyDescent="0.15">
      <c r="A137" s="3" t="s">
        <v>548</v>
      </c>
      <c r="B137" s="3" t="s">
        <v>69</v>
      </c>
      <c r="C137" s="3" t="s">
        <v>550</v>
      </c>
      <c r="D137" s="1">
        <v>45810</v>
      </c>
      <c r="E137" s="1"/>
      <c r="F137" s="7">
        <v>40.33</v>
      </c>
      <c r="G137">
        <f>VLOOKUP(A137,[1]Sheet1!$C:$J,8,FALSE)</f>
        <v>50.44</v>
      </c>
      <c r="H137">
        <f>VLOOKUP(A137,[2]Sheet1!$C:$J,8,FALSE)</f>
        <v>0</v>
      </c>
    </row>
    <row r="138" spans="1:8" ht="14" x14ac:dyDescent="0.15">
      <c r="A138" s="3" t="s">
        <v>552</v>
      </c>
      <c r="B138" s="3" t="s">
        <v>553</v>
      </c>
      <c r="C138" s="3" t="s">
        <v>554</v>
      </c>
      <c r="D138" s="1">
        <v>43318</v>
      </c>
      <c r="E138" s="1"/>
      <c r="F138" s="7">
        <v>33.159999999999997</v>
      </c>
      <c r="G138">
        <f>VLOOKUP(A138,[1]Sheet1!$C:$J,8,FALSE)</f>
        <v>42.69</v>
      </c>
      <c r="H138">
        <f>VLOOKUP(A138,[2]Sheet1!$C:$J,8,FALSE)</f>
        <v>36.11</v>
      </c>
    </row>
    <row r="139" spans="1:8" ht="14" x14ac:dyDescent="0.15">
      <c r="A139" s="3" t="s">
        <v>556</v>
      </c>
      <c r="B139" s="3" t="s">
        <v>69</v>
      </c>
      <c r="C139" s="3" t="s">
        <v>558</v>
      </c>
      <c r="D139" s="1">
        <v>42128</v>
      </c>
      <c r="E139" s="1"/>
      <c r="F139" s="7">
        <v>42.11</v>
      </c>
      <c r="G139">
        <f>VLOOKUP(A139,[1]Sheet1!$C:$J,8,FALSE)</f>
        <v>52.36</v>
      </c>
    </row>
    <row r="140" spans="1:8" ht="14" x14ac:dyDescent="0.15">
      <c r="A140" s="3" t="s">
        <v>560</v>
      </c>
      <c r="B140" s="3" t="s">
        <v>69</v>
      </c>
      <c r="C140" s="3" t="s">
        <v>562</v>
      </c>
      <c r="D140" s="1">
        <v>43836</v>
      </c>
      <c r="E140" s="1"/>
      <c r="F140" s="7">
        <v>25.39</v>
      </c>
      <c r="G140">
        <f>VLOOKUP(A140,[1]Sheet1!$C:$J,8,FALSE)</f>
        <v>34.299999999999997</v>
      </c>
      <c r="H140">
        <f>VLOOKUP(A140,[2]Sheet1!$C:$J,8,FALSE)</f>
        <v>75.319999999999993</v>
      </c>
    </row>
    <row r="141" spans="1:8" ht="14" x14ac:dyDescent="0.15">
      <c r="A141" s="3" t="s">
        <v>564</v>
      </c>
      <c r="B141" s="3" t="s">
        <v>565</v>
      </c>
      <c r="C141" s="3" t="s">
        <v>566</v>
      </c>
      <c r="D141" s="1">
        <v>44704</v>
      </c>
      <c r="E141" s="1"/>
      <c r="F141" s="7">
        <v>40.33</v>
      </c>
      <c r="G141">
        <f>VLOOKUP(A141,[1]Sheet1!$C:$J,8,FALSE)</f>
        <v>50.44</v>
      </c>
    </row>
    <row r="142" spans="1:8" ht="14" x14ac:dyDescent="0.15">
      <c r="A142" s="3" t="s">
        <v>568</v>
      </c>
      <c r="B142" s="3" t="s">
        <v>569</v>
      </c>
      <c r="C142" s="3" t="s">
        <v>570</v>
      </c>
      <c r="D142" s="1">
        <v>41918</v>
      </c>
      <c r="E142" s="1"/>
      <c r="F142" s="7">
        <v>27.36</v>
      </c>
      <c r="G142">
        <f>VLOOKUP(A142,[1]Sheet1!$C:$J,8,FALSE)</f>
        <v>36.43</v>
      </c>
      <c r="H142">
        <f>VLOOKUP(A142,[2]Sheet1!$C:$J,8,FALSE)</f>
        <v>36.11</v>
      </c>
    </row>
    <row r="143" spans="1:8" ht="14" x14ac:dyDescent="0.15">
      <c r="A143" s="3" t="s">
        <v>572</v>
      </c>
      <c r="G143">
        <f>SUM(G11:G142)</f>
        <v>5768.6399999999958</v>
      </c>
      <c r="H143">
        <f>SUM(H11:H142)</f>
        <v>4203.5500000000029</v>
      </c>
    </row>
    <row r="148" spans="1:1" ht="14" x14ac:dyDescent="0.15">
      <c r="A148" s="15" t="s">
        <v>428</v>
      </c>
    </row>
  </sheetData>
  <mergeCells count="2">
    <mergeCell ref="B9:C9"/>
    <mergeCell ref="D9:F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BEA7-D931-4723-A8E7-61F356872032}">
  <dimension ref="A1:J146"/>
  <sheetViews>
    <sheetView topLeftCell="D1" workbookViewId="0">
      <selection activeCell="Q12" sqref="Q12"/>
    </sheetView>
  </sheetViews>
  <sheetFormatPr baseColWidth="10" defaultColWidth="9.1640625" defaultRowHeight="13" x14ac:dyDescent="0.15"/>
  <cols>
    <col min="1" max="10" width="23" style="9" customWidth="1"/>
    <col min="11" max="16384" width="9.1640625" style="9"/>
  </cols>
  <sheetData>
    <row r="1" spans="1:10" x14ac:dyDescent="0.15">
      <c r="A1" s="8" t="s">
        <v>575</v>
      </c>
      <c r="B1" s="8"/>
      <c r="C1" s="8"/>
      <c r="D1" s="8"/>
      <c r="E1" s="8"/>
      <c r="F1" s="8"/>
      <c r="G1" s="8"/>
      <c r="H1" s="8"/>
      <c r="I1" s="8"/>
      <c r="J1" s="8"/>
    </row>
    <row r="2" spans="1:10" ht="28" x14ac:dyDescent="0.15">
      <c r="A2" s="10" t="s">
        <v>576</v>
      </c>
      <c r="B2" s="11" t="s">
        <v>4</v>
      </c>
    </row>
    <row r="3" spans="1:10" ht="28" x14ac:dyDescent="0.15">
      <c r="A3" s="10" t="s">
        <v>577</v>
      </c>
      <c r="B3" s="11" t="s">
        <v>578</v>
      </c>
    </row>
    <row r="4" spans="1:10" ht="14" x14ac:dyDescent="0.15">
      <c r="A4" s="10" t="s">
        <v>579</v>
      </c>
      <c r="B4" s="11" t="s">
        <v>591</v>
      </c>
    </row>
    <row r="5" spans="1:10" x14ac:dyDescent="0.15">
      <c r="A5" s="10" t="s">
        <v>580</v>
      </c>
      <c r="B5" s="11"/>
    </row>
    <row r="6" spans="1:10" x14ac:dyDescent="0.15">
      <c r="A6" s="10" t="s">
        <v>7</v>
      </c>
      <c r="B6" s="11"/>
    </row>
    <row r="7" spans="1:10" x14ac:dyDescent="0.15">
      <c r="A7" s="10" t="s">
        <v>9</v>
      </c>
      <c r="B7" s="12" t="s">
        <v>10</v>
      </c>
    </row>
    <row r="8" spans="1:10" x14ac:dyDescent="0.15">
      <c r="A8" s="10" t="s">
        <v>581</v>
      </c>
      <c r="B8" s="11"/>
    </row>
    <row r="9" spans="1:10" ht="14" x14ac:dyDescent="0.15">
      <c r="A9" s="13" t="s">
        <v>582</v>
      </c>
      <c r="B9" s="13" t="s">
        <v>12</v>
      </c>
      <c r="C9" s="13" t="s">
        <v>14</v>
      </c>
      <c r="D9" s="13" t="s">
        <v>583</v>
      </c>
      <c r="E9" s="13" t="s">
        <v>7</v>
      </c>
      <c r="F9" s="13" t="s">
        <v>3</v>
      </c>
      <c r="G9" s="13" t="s">
        <v>584</v>
      </c>
      <c r="H9" s="13" t="s">
        <v>585</v>
      </c>
      <c r="I9" s="13" t="s">
        <v>586</v>
      </c>
      <c r="J9" s="13" t="s">
        <v>587</v>
      </c>
    </row>
    <row r="10" spans="1:10" ht="210" x14ac:dyDescent="0.15">
      <c r="A10" s="11" t="s">
        <v>588</v>
      </c>
      <c r="B10" s="11" t="s">
        <v>589</v>
      </c>
      <c r="C10" s="11" t="s">
        <v>244</v>
      </c>
      <c r="D10" s="11" t="s">
        <v>8</v>
      </c>
      <c r="E10" s="11" t="s">
        <v>590</v>
      </c>
      <c r="F10" s="11" t="s">
        <v>4</v>
      </c>
      <c r="G10" s="11" t="s">
        <v>591</v>
      </c>
      <c r="H10" s="11" t="s">
        <v>592</v>
      </c>
      <c r="I10" s="11" t="s">
        <v>593</v>
      </c>
      <c r="J10" s="14">
        <v>54.29</v>
      </c>
    </row>
    <row r="11" spans="1:10" ht="210" x14ac:dyDescent="0.15">
      <c r="A11" s="11" t="s">
        <v>597</v>
      </c>
      <c r="B11" s="11" t="s">
        <v>598</v>
      </c>
      <c r="C11" s="11" t="s">
        <v>460</v>
      </c>
      <c r="D11" s="11" t="s">
        <v>8</v>
      </c>
      <c r="E11" s="11" t="s">
        <v>599</v>
      </c>
      <c r="F11" s="11" t="s">
        <v>4</v>
      </c>
      <c r="G11" s="11" t="s">
        <v>591</v>
      </c>
      <c r="H11" s="11" t="s">
        <v>592</v>
      </c>
      <c r="I11" s="11" t="s">
        <v>593</v>
      </c>
      <c r="J11" s="14">
        <v>39.86</v>
      </c>
    </row>
    <row r="12" spans="1:10" ht="210" x14ac:dyDescent="0.15">
      <c r="A12" s="11" t="s">
        <v>600</v>
      </c>
      <c r="B12" s="11" t="s">
        <v>601</v>
      </c>
      <c r="C12" s="11" t="s">
        <v>260</v>
      </c>
      <c r="D12" s="11" t="s">
        <v>8</v>
      </c>
      <c r="E12" s="11" t="s">
        <v>602</v>
      </c>
      <c r="F12" s="11" t="s">
        <v>4</v>
      </c>
      <c r="G12" s="11" t="s">
        <v>591</v>
      </c>
      <c r="H12" s="11" t="s">
        <v>592</v>
      </c>
      <c r="I12" s="11" t="s">
        <v>593</v>
      </c>
      <c r="J12" s="14">
        <v>48.36</v>
      </c>
    </row>
    <row r="13" spans="1:10" ht="210" x14ac:dyDescent="0.15">
      <c r="A13" s="11" t="s">
        <v>603</v>
      </c>
      <c r="B13" s="11" t="s">
        <v>604</v>
      </c>
      <c r="C13" s="11" t="s">
        <v>264</v>
      </c>
      <c r="D13" s="11" t="s">
        <v>8</v>
      </c>
      <c r="E13" s="11" t="s">
        <v>605</v>
      </c>
      <c r="F13" s="11" t="s">
        <v>4</v>
      </c>
      <c r="G13" s="11" t="s">
        <v>591</v>
      </c>
      <c r="H13" s="11" t="s">
        <v>592</v>
      </c>
      <c r="I13" s="11" t="s">
        <v>593</v>
      </c>
      <c r="J13" s="14">
        <v>34.299999999999997</v>
      </c>
    </row>
    <row r="14" spans="1:10" ht="210" x14ac:dyDescent="0.15">
      <c r="A14" s="11" t="s">
        <v>606</v>
      </c>
      <c r="B14" s="11" t="s">
        <v>607</v>
      </c>
      <c r="C14" s="11" t="s">
        <v>140</v>
      </c>
      <c r="D14" s="11" t="s">
        <v>8</v>
      </c>
      <c r="E14" s="11" t="s">
        <v>608</v>
      </c>
      <c r="F14" s="11" t="s">
        <v>4</v>
      </c>
      <c r="G14" s="11" t="s">
        <v>591</v>
      </c>
      <c r="H14" s="11" t="s">
        <v>592</v>
      </c>
      <c r="I14" s="11" t="s">
        <v>593</v>
      </c>
      <c r="J14" s="14">
        <v>34.299999999999997</v>
      </c>
    </row>
    <row r="15" spans="1:10" ht="210" x14ac:dyDescent="0.15">
      <c r="A15" s="11" t="s">
        <v>609</v>
      </c>
      <c r="B15" s="11" t="s">
        <v>610</v>
      </c>
      <c r="C15" s="11" t="s">
        <v>88</v>
      </c>
      <c r="D15" s="11" t="s">
        <v>8</v>
      </c>
      <c r="E15" s="11" t="s">
        <v>611</v>
      </c>
      <c r="F15" s="11" t="s">
        <v>4</v>
      </c>
      <c r="G15" s="11" t="s">
        <v>591</v>
      </c>
      <c r="H15" s="11" t="s">
        <v>592</v>
      </c>
      <c r="I15" s="11" t="s">
        <v>593</v>
      </c>
      <c r="J15" s="14">
        <v>50.44</v>
      </c>
    </row>
    <row r="16" spans="1:10" ht="210" x14ac:dyDescent="0.15">
      <c r="A16" s="11" t="s">
        <v>612</v>
      </c>
      <c r="B16" s="11" t="s">
        <v>613</v>
      </c>
      <c r="C16" s="11" t="s">
        <v>320</v>
      </c>
      <c r="D16" s="11" t="s">
        <v>8</v>
      </c>
      <c r="E16" s="11" t="s">
        <v>608</v>
      </c>
      <c r="F16" s="11" t="s">
        <v>4</v>
      </c>
      <c r="G16" s="11" t="s">
        <v>591</v>
      </c>
      <c r="H16" s="11" t="s">
        <v>592</v>
      </c>
      <c r="I16" s="11" t="s">
        <v>593</v>
      </c>
      <c r="J16" s="14">
        <v>52.36</v>
      </c>
    </row>
    <row r="17" spans="1:10" ht="210" x14ac:dyDescent="0.15">
      <c r="A17" s="11" t="s">
        <v>614</v>
      </c>
      <c r="B17" s="11" t="s">
        <v>615</v>
      </c>
      <c r="C17" s="11" t="s">
        <v>316</v>
      </c>
      <c r="D17" s="11" t="s">
        <v>8</v>
      </c>
      <c r="E17" s="11" t="s">
        <v>616</v>
      </c>
      <c r="F17" s="11" t="s">
        <v>4</v>
      </c>
      <c r="G17" s="11" t="s">
        <v>591</v>
      </c>
      <c r="H17" s="11" t="s">
        <v>592</v>
      </c>
      <c r="I17" s="11" t="s">
        <v>593</v>
      </c>
      <c r="J17" s="14">
        <v>42.69</v>
      </c>
    </row>
    <row r="18" spans="1:10" ht="210" x14ac:dyDescent="0.15">
      <c r="A18" s="11" t="s">
        <v>617</v>
      </c>
      <c r="B18" s="11" t="s">
        <v>618</v>
      </c>
      <c r="C18" s="11" t="s">
        <v>492</v>
      </c>
      <c r="D18" s="11" t="s">
        <v>8</v>
      </c>
      <c r="E18" s="11" t="s">
        <v>608</v>
      </c>
      <c r="F18" s="11" t="s">
        <v>4</v>
      </c>
      <c r="G18" s="11" t="s">
        <v>591</v>
      </c>
      <c r="H18" s="11" t="s">
        <v>592</v>
      </c>
      <c r="I18" s="11" t="s">
        <v>593</v>
      </c>
      <c r="J18" s="14">
        <v>34.299999999999997</v>
      </c>
    </row>
    <row r="19" spans="1:10" ht="210" x14ac:dyDescent="0.15">
      <c r="A19" s="11" t="s">
        <v>619</v>
      </c>
      <c r="B19" s="11" t="s">
        <v>620</v>
      </c>
      <c r="C19" s="11" t="s">
        <v>500</v>
      </c>
      <c r="D19" s="11" t="s">
        <v>8</v>
      </c>
      <c r="E19" s="11" t="s">
        <v>602</v>
      </c>
      <c r="F19" s="11" t="s">
        <v>4</v>
      </c>
      <c r="G19" s="11" t="s">
        <v>591</v>
      </c>
      <c r="H19" s="11" t="s">
        <v>592</v>
      </c>
      <c r="I19" s="11" t="s">
        <v>593</v>
      </c>
      <c r="J19" s="14">
        <v>48.36</v>
      </c>
    </row>
    <row r="20" spans="1:10" ht="210" x14ac:dyDescent="0.15">
      <c r="A20" s="11" t="s">
        <v>621</v>
      </c>
      <c r="B20" s="11" t="s">
        <v>622</v>
      </c>
      <c r="C20" s="11" t="s">
        <v>92</v>
      </c>
      <c r="D20" s="11" t="s">
        <v>8</v>
      </c>
      <c r="E20" s="11" t="s">
        <v>608</v>
      </c>
      <c r="F20" s="11" t="s">
        <v>4</v>
      </c>
      <c r="G20" s="11" t="s">
        <v>591</v>
      </c>
      <c r="H20" s="11" t="s">
        <v>592</v>
      </c>
      <c r="I20" s="11" t="s">
        <v>593</v>
      </c>
      <c r="J20" s="14">
        <v>47.39</v>
      </c>
    </row>
    <row r="21" spans="1:10" ht="210" x14ac:dyDescent="0.15">
      <c r="A21" s="11" t="s">
        <v>623</v>
      </c>
      <c r="B21" s="11" t="s">
        <v>624</v>
      </c>
      <c r="C21" s="11" t="s">
        <v>216</v>
      </c>
      <c r="D21" s="11" t="s">
        <v>8</v>
      </c>
      <c r="E21" s="11" t="s">
        <v>608</v>
      </c>
      <c r="F21" s="11" t="s">
        <v>4</v>
      </c>
      <c r="G21" s="11" t="s">
        <v>591</v>
      </c>
      <c r="H21" s="11" t="s">
        <v>592</v>
      </c>
      <c r="I21" s="11" t="s">
        <v>593</v>
      </c>
      <c r="J21" s="14">
        <v>50.44</v>
      </c>
    </row>
    <row r="22" spans="1:10" ht="210" x14ac:dyDescent="0.15">
      <c r="A22" s="11" t="s">
        <v>625</v>
      </c>
      <c r="B22" s="11" t="s">
        <v>626</v>
      </c>
      <c r="C22" s="11" t="s">
        <v>96</v>
      </c>
      <c r="D22" s="11" t="s">
        <v>8</v>
      </c>
      <c r="E22" s="11" t="s">
        <v>602</v>
      </c>
      <c r="F22" s="11" t="s">
        <v>4</v>
      </c>
      <c r="G22" s="11" t="s">
        <v>591</v>
      </c>
      <c r="H22" s="11" t="s">
        <v>592</v>
      </c>
      <c r="I22" s="11" t="s">
        <v>593</v>
      </c>
      <c r="J22" s="14">
        <v>0</v>
      </c>
    </row>
    <row r="23" spans="1:10" ht="210" x14ac:dyDescent="0.15">
      <c r="A23" s="11" t="s">
        <v>627</v>
      </c>
      <c r="B23" s="11" t="s">
        <v>628</v>
      </c>
      <c r="C23" s="11" t="s">
        <v>144</v>
      </c>
      <c r="D23" s="11" t="s">
        <v>8</v>
      </c>
      <c r="E23" s="11" t="s">
        <v>602</v>
      </c>
      <c r="F23" s="11" t="s">
        <v>4</v>
      </c>
      <c r="G23" s="11" t="s">
        <v>591</v>
      </c>
      <c r="H23" s="11" t="s">
        <v>592</v>
      </c>
      <c r="I23" s="11" t="s">
        <v>593</v>
      </c>
      <c r="J23" s="14">
        <v>50.21</v>
      </c>
    </row>
    <row r="24" spans="1:10" ht="210" x14ac:dyDescent="0.15">
      <c r="A24" s="11" t="s">
        <v>629</v>
      </c>
      <c r="B24" s="11" t="s">
        <v>630</v>
      </c>
      <c r="C24" s="11" t="s">
        <v>536</v>
      </c>
      <c r="D24" s="11" t="s">
        <v>8</v>
      </c>
      <c r="E24" s="11" t="s">
        <v>611</v>
      </c>
      <c r="F24" s="11" t="s">
        <v>4</v>
      </c>
      <c r="G24" s="11" t="s">
        <v>591</v>
      </c>
      <c r="H24" s="11" t="s">
        <v>592</v>
      </c>
      <c r="I24" s="11" t="s">
        <v>593</v>
      </c>
      <c r="J24" s="14">
        <v>50.44</v>
      </c>
    </row>
    <row r="25" spans="1:10" ht="210" x14ac:dyDescent="0.15">
      <c r="A25" s="11" t="s">
        <v>631</v>
      </c>
      <c r="B25" s="11" t="s">
        <v>632</v>
      </c>
      <c r="C25" s="11" t="s">
        <v>252</v>
      </c>
      <c r="D25" s="11" t="s">
        <v>8</v>
      </c>
      <c r="E25" s="11" t="s">
        <v>605</v>
      </c>
      <c r="F25" s="11" t="s">
        <v>4</v>
      </c>
      <c r="G25" s="11" t="s">
        <v>591</v>
      </c>
      <c r="H25" s="11" t="s">
        <v>592</v>
      </c>
      <c r="I25" s="11" t="s">
        <v>593</v>
      </c>
      <c r="J25" s="14">
        <v>42.69</v>
      </c>
    </row>
    <row r="26" spans="1:10" ht="210" x14ac:dyDescent="0.15">
      <c r="A26" s="11" t="s">
        <v>633</v>
      </c>
      <c r="B26" s="11" t="s">
        <v>634</v>
      </c>
      <c r="C26" s="11" t="s">
        <v>404</v>
      </c>
      <c r="D26" s="11" t="s">
        <v>8</v>
      </c>
      <c r="E26" s="11" t="s">
        <v>590</v>
      </c>
      <c r="F26" s="11" t="s">
        <v>4</v>
      </c>
      <c r="G26" s="11" t="s">
        <v>591</v>
      </c>
      <c r="H26" s="11" t="s">
        <v>592</v>
      </c>
      <c r="I26" s="11" t="s">
        <v>593</v>
      </c>
      <c r="J26" s="14">
        <v>34.299999999999997</v>
      </c>
    </row>
    <row r="27" spans="1:10" ht="210" x14ac:dyDescent="0.15">
      <c r="A27" s="11" t="s">
        <v>635</v>
      </c>
      <c r="B27" s="11" t="s">
        <v>636</v>
      </c>
      <c r="C27" s="11" t="s">
        <v>540</v>
      </c>
      <c r="D27" s="11" t="s">
        <v>8</v>
      </c>
      <c r="E27" s="11" t="s">
        <v>637</v>
      </c>
      <c r="F27" s="11" t="s">
        <v>4</v>
      </c>
      <c r="G27" s="11" t="s">
        <v>591</v>
      </c>
      <c r="H27" s="11" t="s">
        <v>592</v>
      </c>
      <c r="I27" s="11" t="s">
        <v>593</v>
      </c>
      <c r="J27" s="14">
        <v>52.36</v>
      </c>
    </row>
    <row r="28" spans="1:10" ht="210" x14ac:dyDescent="0.15">
      <c r="A28" s="11" t="s">
        <v>638</v>
      </c>
      <c r="B28" s="11" t="s">
        <v>639</v>
      </c>
      <c r="C28" s="11" t="s">
        <v>300</v>
      </c>
      <c r="D28" s="11" t="s">
        <v>8</v>
      </c>
      <c r="E28" s="11" t="s">
        <v>608</v>
      </c>
      <c r="F28" s="11" t="s">
        <v>4</v>
      </c>
      <c r="G28" s="11" t="s">
        <v>591</v>
      </c>
      <c r="H28" s="11" t="s">
        <v>592</v>
      </c>
      <c r="I28" s="11" t="s">
        <v>593</v>
      </c>
      <c r="J28" s="14">
        <v>34.299999999999997</v>
      </c>
    </row>
    <row r="29" spans="1:10" ht="210" x14ac:dyDescent="0.15">
      <c r="A29" s="11" t="s">
        <v>642</v>
      </c>
      <c r="B29" s="11" t="s">
        <v>643</v>
      </c>
      <c r="C29" s="11" t="s">
        <v>544</v>
      </c>
      <c r="D29" s="11" t="s">
        <v>8</v>
      </c>
      <c r="E29" s="11" t="s">
        <v>637</v>
      </c>
      <c r="F29" s="11" t="s">
        <v>4</v>
      </c>
      <c r="G29" s="11" t="s">
        <v>591</v>
      </c>
      <c r="H29" s="11" t="s">
        <v>592</v>
      </c>
      <c r="I29" s="11" t="s">
        <v>593</v>
      </c>
      <c r="J29" s="14">
        <v>52.36</v>
      </c>
    </row>
    <row r="30" spans="1:10" ht="210" x14ac:dyDescent="0.15">
      <c r="A30" s="11" t="s">
        <v>644</v>
      </c>
      <c r="B30" s="11" t="s">
        <v>645</v>
      </c>
      <c r="C30" s="11" t="s">
        <v>124</v>
      </c>
      <c r="D30" s="11" t="s">
        <v>8</v>
      </c>
      <c r="E30" s="11" t="s">
        <v>646</v>
      </c>
      <c r="F30" s="11" t="s">
        <v>4</v>
      </c>
      <c r="G30" s="11" t="s">
        <v>591</v>
      </c>
      <c r="H30" s="11" t="s">
        <v>592</v>
      </c>
      <c r="I30" s="11" t="s">
        <v>593</v>
      </c>
      <c r="J30" s="14">
        <v>33.96</v>
      </c>
    </row>
    <row r="31" spans="1:10" ht="210" x14ac:dyDescent="0.15">
      <c r="A31" s="11" t="s">
        <v>647</v>
      </c>
      <c r="B31" s="11" t="s">
        <v>648</v>
      </c>
      <c r="C31" s="11" t="s">
        <v>192</v>
      </c>
      <c r="D31" s="11" t="s">
        <v>8</v>
      </c>
      <c r="E31" s="11" t="s">
        <v>616</v>
      </c>
      <c r="F31" s="11" t="s">
        <v>4</v>
      </c>
      <c r="G31" s="11" t="s">
        <v>591</v>
      </c>
      <c r="H31" s="11" t="s">
        <v>592</v>
      </c>
      <c r="I31" s="11" t="s">
        <v>593</v>
      </c>
      <c r="J31" s="14">
        <v>300</v>
      </c>
    </row>
    <row r="32" spans="1:10" ht="210" x14ac:dyDescent="0.15">
      <c r="A32" s="11" t="s">
        <v>647</v>
      </c>
      <c r="B32" s="11" t="s">
        <v>648</v>
      </c>
      <c r="C32" s="11" t="s">
        <v>192</v>
      </c>
      <c r="D32" s="11" t="s">
        <v>8</v>
      </c>
      <c r="E32" s="11" t="s">
        <v>616</v>
      </c>
      <c r="F32" s="11" t="s">
        <v>4</v>
      </c>
      <c r="G32" s="11" t="s">
        <v>591</v>
      </c>
      <c r="H32" s="11" t="s">
        <v>592</v>
      </c>
      <c r="I32" s="11" t="s">
        <v>593</v>
      </c>
      <c r="J32" s="14">
        <v>47.39</v>
      </c>
    </row>
    <row r="33" spans="1:10" ht="210" x14ac:dyDescent="0.15">
      <c r="A33" s="11" t="s">
        <v>649</v>
      </c>
      <c r="B33" s="11" t="s">
        <v>650</v>
      </c>
      <c r="C33" s="11" t="s">
        <v>408</v>
      </c>
      <c r="D33" s="11" t="s">
        <v>8</v>
      </c>
      <c r="E33" s="11" t="s">
        <v>608</v>
      </c>
      <c r="F33" s="11" t="s">
        <v>4</v>
      </c>
      <c r="G33" s="11" t="s">
        <v>591</v>
      </c>
      <c r="H33" s="11" t="s">
        <v>592</v>
      </c>
      <c r="I33" s="11" t="s">
        <v>593</v>
      </c>
      <c r="J33" s="14">
        <v>52.36</v>
      </c>
    </row>
    <row r="34" spans="1:10" ht="210" x14ac:dyDescent="0.15">
      <c r="A34" s="11" t="s">
        <v>651</v>
      </c>
      <c r="B34" s="11" t="s">
        <v>652</v>
      </c>
      <c r="C34" s="11" t="s">
        <v>548</v>
      </c>
      <c r="D34" s="11" t="s">
        <v>8</v>
      </c>
      <c r="E34" s="11" t="s">
        <v>608</v>
      </c>
      <c r="F34" s="11" t="s">
        <v>4</v>
      </c>
      <c r="G34" s="11" t="s">
        <v>591</v>
      </c>
      <c r="H34" s="11" t="s">
        <v>592</v>
      </c>
      <c r="I34" s="11" t="s">
        <v>593</v>
      </c>
      <c r="J34" s="14">
        <v>50.44</v>
      </c>
    </row>
    <row r="35" spans="1:10" ht="210" x14ac:dyDescent="0.15">
      <c r="A35" s="11" t="s">
        <v>653</v>
      </c>
      <c r="B35" s="11" t="s">
        <v>654</v>
      </c>
      <c r="C35" s="11" t="s">
        <v>412</v>
      </c>
      <c r="D35" s="11" t="s">
        <v>8</v>
      </c>
      <c r="E35" s="11" t="s">
        <v>605</v>
      </c>
      <c r="F35" s="11" t="s">
        <v>4</v>
      </c>
      <c r="G35" s="11" t="s">
        <v>591</v>
      </c>
      <c r="H35" s="11" t="s">
        <v>592</v>
      </c>
      <c r="I35" s="11" t="s">
        <v>593</v>
      </c>
      <c r="J35" s="14">
        <v>52.36</v>
      </c>
    </row>
    <row r="36" spans="1:10" ht="210" x14ac:dyDescent="0.15">
      <c r="A36" s="11" t="s">
        <v>655</v>
      </c>
      <c r="B36" s="11" t="s">
        <v>656</v>
      </c>
      <c r="C36" s="11" t="s">
        <v>464</v>
      </c>
      <c r="D36" s="11" t="s">
        <v>8</v>
      </c>
      <c r="E36" s="11" t="s">
        <v>599</v>
      </c>
      <c r="F36" s="11" t="s">
        <v>4</v>
      </c>
      <c r="G36" s="11" t="s">
        <v>591</v>
      </c>
      <c r="H36" s="11" t="s">
        <v>592</v>
      </c>
      <c r="I36" s="11" t="s">
        <v>593</v>
      </c>
      <c r="J36" s="14">
        <v>39.86</v>
      </c>
    </row>
    <row r="37" spans="1:10" ht="210" x14ac:dyDescent="0.15">
      <c r="A37" s="11" t="s">
        <v>657</v>
      </c>
      <c r="B37" s="11" t="s">
        <v>658</v>
      </c>
      <c r="C37" s="11" t="s">
        <v>504</v>
      </c>
      <c r="D37" s="11" t="s">
        <v>8</v>
      </c>
      <c r="E37" s="11" t="s">
        <v>608</v>
      </c>
      <c r="F37" s="11" t="s">
        <v>4</v>
      </c>
      <c r="G37" s="11" t="s">
        <v>591</v>
      </c>
      <c r="H37" s="11" t="s">
        <v>592</v>
      </c>
      <c r="I37" s="11" t="s">
        <v>593</v>
      </c>
      <c r="J37" s="14">
        <v>47.39</v>
      </c>
    </row>
    <row r="38" spans="1:10" ht="210" x14ac:dyDescent="0.15">
      <c r="A38" s="11" t="s">
        <v>659</v>
      </c>
      <c r="B38" s="11" t="s">
        <v>660</v>
      </c>
      <c r="C38" s="11" t="s">
        <v>324</v>
      </c>
      <c r="D38" s="11" t="s">
        <v>8</v>
      </c>
      <c r="E38" s="11" t="s">
        <v>590</v>
      </c>
      <c r="F38" s="11" t="s">
        <v>4</v>
      </c>
      <c r="G38" s="11" t="s">
        <v>591</v>
      </c>
      <c r="H38" s="11" t="s">
        <v>592</v>
      </c>
      <c r="I38" s="11" t="s">
        <v>593</v>
      </c>
      <c r="J38" s="14">
        <v>34.299999999999997</v>
      </c>
    </row>
    <row r="39" spans="1:10" ht="210" x14ac:dyDescent="0.15">
      <c r="A39" s="11" t="s">
        <v>661</v>
      </c>
      <c r="B39" s="11" t="s">
        <v>662</v>
      </c>
      <c r="C39" s="11" t="s">
        <v>44</v>
      </c>
      <c r="D39" s="11" t="s">
        <v>8</v>
      </c>
      <c r="E39" s="11" t="s">
        <v>602</v>
      </c>
      <c r="F39" s="11" t="s">
        <v>4</v>
      </c>
      <c r="G39" s="11" t="s">
        <v>591</v>
      </c>
      <c r="H39" s="11" t="s">
        <v>592</v>
      </c>
      <c r="I39" s="11" t="s">
        <v>593</v>
      </c>
      <c r="J39" s="14">
        <v>48.36</v>
      </c>
    </row>
    <row r="40" spans="1:10" ht="210" x14ac:dyDescent="0.15">
      <c r="A40" s="11" t="s">
        <v>663</v>
      </c>
      <c r="B40" s="11" t="s">
        <v>664</v>
      </c>
      <c r="C40" s="11" t="s">
        <v>328</v>
      </c>
      <c r="D40" s="11" t="s">
        <v>8</v>
      </c>
      <c r="E40" s="11" t="s">
        <v>599</v>
      </c>
      <c r="F40" s="11" t="s">
        <v>4</v>
      </c>
      <c r="G40" s="11" t="s">
        <v>591</v>
      </c>
      <c r="H40" s="11" t="s">
        <v>592</v>
      </c>
      <c r="I40" s="11" t="s">
        <v>593</v>
      </c>
      <c r="J40" s="14">
        <v>39.86</v>
      </c>
    </row>
    <row r="41" spans="1:10" ht="210" x14ac:dyDescent="0.15">
      <c r="A41" s="11" t="s">
        <v>665</v>
      </c>
      <c r="B41" s="11" t="s">
        <v>666</v>
      </c>
      <c r="C41" s="11" t="s">
        <v>156</v>
      </c>
      <c r="D41" s="11" t="s">
        <v>8</v>
      </c>
      <c r="E41" s="11" t="s">
        <v>602</v>
      </c>
      <c r="F41" s="11" t="s">
        <v>4</v>
      </c>
      <c r="G41" s="11" t="s">
        <v>591</v>
      </c>
      <c r="H41" s="11" t="s">
        <v>592</v>
      </c>
      <c r="I41" s="11" t="s">
        <v>593</v>
      </c>
      <c r="J41" s="14">
        <v>53.19</v>
      </c>
    </row>
    <row r="42" spans="1:10" ht="210" x14ac:dyDescent="0.15">
      <c r="A42" s="11" t="s">
        <v>667</v>
      </c>
      <c r="B42" s="11" t="s">
        <v>668</v>
      </c>
      <c r="C42" s="11" t="s">
        <v>448</v>
      </c>
      <c r="D42" s="11" t="s">
        <v>8</v>
      </c>
      <c r="E42" s="11" t="s">
        <v>602</v>
      </c>
      <c r="F42" s="11" t="s">
        <v>4</v>
      </c>
      <c r="G42" s="11" t="s">
        <v>591</v>
      </c>
      <c r="H42" s="11" t="s">
        <v>592</v>
      </c>
      <c r="I42" s="11" t="s">
        <v>593</v>
      </c>
      <c r="J42" s="14">
        <v>48.36</v>
      </c>
    </row>
    <row r="43" spans="1:10" ht="210" x14ac:dyDescent="0.15">
      <c r="A43" s="11" t="s">
        <v>669</v>
      </c>
      <c r="B43" s="11" t="s">
        <v>670</v>
      </c>
      <c r="C43" s="11" t="s">
        <v>332</v>
      </c>
      <c r="D43" s="11" t="s">
        <v>8</v>
      </c>
      <c r="E43" s="11" t="s">
        <v>590</v>
      </c>
      <c r="F43" s="11" t="s">
        <v>4</v>
      </c>
      <c r="G43" s="11" t="s">
        <v>591</v>
      </c>
      <c r="H43" s="11" t="s">
        <v>592</v>
      </c>
      <c r="I43" s="11" t="s">
        <v>593</v>
      </c>
      <c r="J43" s="14">
        <v>55.49</v>
      </c>
    </row>
    <row r="44" spans="1:10" ht="210" x14ac:dyDescent="0.15">
      <c r="A44" s="11" t="s">
        <v>671</v>
      </c>
      <c r="B44" s="11" t="s">
        <v>672</v>
      </c>
      <c r="C44" s="11" t="s">
        <v>56</v>
      </c>
      <c r="D44" s="11" t="s">
        <v>8</v>
      </c>
      <c r="E44" s="11" t="s">
        <v>673</v>
      </c>
      <c r="F44" s="11" t="s">
        <v>4</v>
      </c>
      <c r="G44" s="11" t="s">
        <v>591</v>
      </c>
      <c r="H44" s="11" t="s">
        <v>592</v>
      </c>
      <c r="I44" s="11" t="s">
        <v>593</v>
      </c>
      <c r="J44" s="14">
        <v>0</v>
      </c>
    </row>
    <row r="45" spans="1:10" ht="210" x14ac:dyDescent="0.15">
      <c r="A45" s="11" t="s">
        <v>674</v>
      </c>
      <c r="B45" s="11" t="s">
        <v>675</v>
      </c>
      <c r="C45" s="11" t="s">
        <v>60</v>
      </c>
      <c r="D45" s="11" t="s">
        <v>8</v>
      </c>
      <c r="E45" s="11" t="s">
        <v>608</v>
      </c>
      <c r="F45" s="11" t="s">
        <v>4</v>
      </c>
      <c r="G45" s="11" t="s">
        <v>591</v>
      </c>
      <c r="H45" s="11" t="s">
        <v>592</v>
      </c>
      <c r="I45" s="11" t="s">
        <v>593</v>
      </c>
      <c r="J45" s="14">
        <v>52.36</v>
      </c>
    </row>
    <row r="46" spans="1:10" ht="210" x14ac:dyDescent="0.15">
      <c r="A46" s="11" t="s">
        <v>676</v>
      </c>
      <c r="B46" s="11" t="s">
        <v>677</v>
      </c>
      <c r="C46" s="11" t="s">
        <v>520</v>
      </c>
      <c r="D46" s="11" t="s">
        <v>8</v>
      </c>
      <c r="E46" s="11" t="s">
        <v>608</v>
      </c>
      <c r="F46" s="11" t="s">
        <v>4</v>
      </c>
      <c r="G46" s="11" t="s">
        <v>591</v>
      </c>
      <c r="H46" s="11" t="s">
        <v>592</v>
      </c>
      <c r="I46" s="11" t="s">
        <v>593</v>
      </c>
      <c r="J46" s="14">
        <v>34.299999999999997</v>
      </c>
    </row>
    <row r="47" spans="1:10" ht="210" x14ac:dyDescent="0.15">
      <c r="A47" s="11" t="s">
        <v>678</v>
      </c>
      <c r="B47" s="11" t="s">
        <v>679</v>
      </c>
      <c r="C47" s="11" t="s">
        <v>208</v>
      </c>
      <c r="D47" s="11" t="s">
        <v>8</v>
      </c>
      <c r="E47" s="11" t="s">
        <v>616</v>
      </c>
      <c r="F47" s="11" t="s">
        <v>4</v>
      </c>
      <c r="G47" s="11" t="s">
        <v>591</v>
      </c>
      <c r="H47" s="11" t="s">
        <v>592</v>
      </c>
      <c r="I47" s="11" t="s">
        <v>593</v>
      </c>
      <c r="J47" s="14">
        <v>44.12</v>
      </c>
    </row>
    <row r="48" spans="1:10" ht="210" x14ac:dyDescent="0.15">
      <c r="A48" s="11" t="s">
        <v>680</v>
      </c>
      <c r="B48" s="11" t="s">
        <v>681</v>
      </c>
      <c r="C48" s="11" t="s">
        <v>336</v>
      </c>
      <c r="D48" s="11" t="s">
        <v>8</v>
      </c>
      <c r="E48" s="11" t="s">
        <v>602</v>
      </c>
      <c r="F48" s="11" t="s">
        <v>4</v>
      </c>
      <c r="G48" s="11" t="s">
        <v>591</v>
      </c>
      <c r="H48" s="11" t="s">
        <v>592</v>
      </c>
      <c r="I48" s="11" t="s">
        <v>593</v>
      </c>
      <c r="J48" s="14">
        <v>48.36</v>
      </c>
    </row>
    <row r="49" spans="1:10" ht="210" x14ac:dyDescent="0.15">
      <c r="A49" s="11" t="s">
        <v>682</v>
      </c>
      <c r="B49" s="11" t="s">
        <v>683</v>
      </c>
      <c r="C49" s="11" t="s">
        <v>132</v>
      </c>
      <c r="D49" s="11" t="s">
        <v>8</v>
      </c>
      <c r="E49" s="11" t="s">
        <v>611</v>
      </c>
      <c r="F49" s="11" t="s">
        <v>4</v>
      </c>
      <c r="G49" s="11" t="s">
        <v>591</v>
      </c>
      <c r="H49" s="11" t="s">
        <v>592</v>
      </c>
      <c r="I49" s="11" t="s">
        <v>593</v>
      </c>
      <c r="J49" s="14">
        <v>0</v>
      </c>
    </row>
    <row r="50" spans="1:10" ht="210" x14ac:dyDescent="0.15">
      <c r="A50" s="11" t="s">
        <v>684</v>
      </c>
      <c r="B50" s="11" t="s">
        <v>685</v>
      </c>
      <c r="C50" s="11" t="s">
        <v>100</v>
      </c>
      <c r="D50" s="11" t="s">
        <v>8</v>
      </c>
      <c r="E50" s="11" t="s">
        <v>637</v>
      </c>
      <c r="F50" s="11" t="s">
        <v>4</v>
      </c>
      <c r="G50" s="11" t="s">
        <v>591</v>
      </c>
      <c r="H50" s="11" t="s">
        <v>592</v>
      </c>
      <c r="I50" s="11" t="s">
        <v>593</v>
      </c>
      <c r="J50" s="14">
        <v>34.299999999999997</v>
      </c>
    </row>
    <row r="51" spans="1:10" ht="210" x14ac:dyDescent="0.15">
      <c r="A51" s="11" t="s">
        <v>686</v>
      </c>
      <c r="B51" s="11" t="s">
        <v>687</v>
      </c>
      <c r="C51" s="11" t="s">
        <v>64</v>
      </c>
      <c r="D51" s="11" t="s">
        <v>8</v>
      </c>
      <c r="E51" s="11" t="s">
        <v>599</v>
      </c>
      <c r="F51" s="11" t="s">
        <v>4</v>
      </c>
      <c r="G51" s="11" t="s">
        <v>591</v>
      </c>
      <c r="H51" s="11" t="s">
        <v>592</v>
      </c>
      <c r="I51" s="11" t="s">
        <v>593</v>
      </c>
      <c r="J51" s="14">
        <v>42.25</v>
      </c>
    </row>
    <row r="52" spans="1:10" ht="210" x14ac:dyDescent="0.15">
      <c r="A52" s="11" t="s">
        <v>688</v>
      </c>
      <c r="B52" s="11" t="s">
        <v>689</v>
      </c>
      <c r="C52" s="11" t="s">
        <v>388</v>
      </c>
      <c r="D52" s="11" t="s">
        <v>8</v>
      </c>
      <c r="E52" s="11" t="s">
        <v>608</v>
      </c>
      <c r="F52" s="11" t="s">
        <v>4</v>
      </c>
      <c r="G52" s="11" t="s">
        <v>591</v>
      </c>
      <c r="H52" s="11" t="s">
        <v>592</v>
      </c>
      <c r="I52" s="11" t="s">
        <v>593</v>
      </c>
      <c r="J52" s="14">
        <v>50.44</v>
      </c>
    </row>
    <row r="53" spans="1:10" ht="210" x14ac:dyDescent="0.15">
      <c r="A53" s="11" t="s">
        <v>690</v>
      </c>
      <c r="B53" s="11" t="s">
        <v>691</v>
      </c>
      <c r="C53" s="11" t="s">
        <v>272</v>
      </c>
      <c r="D53" s="11" t="s">
        <v>8</v>
      </c>
      <c r="E53" s="11" t="s">
        <v>616</v>
      </c>
      <c r="F53" s="11" t="s">
        <v>4</v>
      </c>
      <c r="G53" s="11" t="s">
        <v>591</v>
      </c>
      <c r="H53" s="11" t="s">
        <v>592</v>
      </c>
      <c r="I53" s="11" t="s">
        <v>593</v>
      </c>
      <c r="J53" s="14">
        <v>41.32</v>
      </c>
    </row>
    <row r="54" spans="1:10" ht="210" x14ac:dyDescent="0.15">
      <c r="A54" s="11" t="s">
        <v>692</v>
      </c>
      <c r="B54" s="11" t="s">
        <v>693</v>
      </c>
      <c r="C54" s="11" t="s">
        <v>224</v>
      </c>
      <c r="D54" s="11" t="s">
        <v>8</v>
      </c>
      <c r="E54" s="11" t="s">
        <v>608</v>
      </c>
      <c r="F54" s="11" t="s">
        <v>4</v>
      </c>
      <c r="G54" s="11" t="s">
        <v>591</v>
      </c>
      <c r="H54" s="11" t="s">
        <v>592</v>
      </c>
      <c r="I54" s="11" t="s">
        <v>593</v>
      </c>
      <c r="J54" s="14">
        <v>47.39</v>
      </c>
    </row>
    <row r="55" spans="1:10" ht="210" x14ac:dyDescent="0.15">
      <c r="A55" s="11" t="s">
        <v>694</v>
      </c>
      <c r="B55" s="11" t="s">
        <v>695</v>
      </c>
      <c r="C55" s="11" t="s">
        <v>268</v>
      </c>
      <c r="D55" s="11" t="s">
        <v>8</v>
      </c>
      <c r="E55" s="11" t="s">
        <v>637</v>
      </c>
      <c r="F55" s="11" t="s">
        <v>4</v>
      </c>
      <c r="G55" s="11" t="s">
        <v>591</v>
      </c>
      <c r="H55" s="11" t="s">
        <v>592</v>
      </c>
      <c r="I55" s="11" t="s">
        <v>593</v>
      </c>
      <c r="J55" s="14">
        <v>52.36</v>
      </c>
    </row>
    <row r="56" spans="1:10" ht="210" x14ac:dyDescent="0.15">
      <c r="A56" s="11" t="s">
        <v>696</v>
      </c>
      <c r="B56" s="11" t="s">
        <v>697</v>
      </c>
      <c r="C56" s="11" t="s">
        <v>420</v>
      </c>
      <c r="D56" s="11" t="s">
        <v>8</v>
      </c>
      <c r="E56" s="11" t="s">
        <v>602</v>
      </c>
      <c r="F56" s="11" t="s">
        <v>4</v>
      </c>
      <c r="G56" s="11" t="s">
        <v>591</v>
      </c>
      <c r="H56" s="11" t="s">
        <v>592</v>
      </c>
      <c r="I56" s="11" t="s">
        <v>593</v>
      </c>
      <c r="J56" s="14">
        <v>48.36</v>
      </c>
    </row>
    <row r="57" spans="1:10" ht="210" x14ac:dyDescent="0.15">
      <c r="A57" s="11" t="s">
        <v>698</v>
      </c>
      <c r="B57" s="11" t="s">
        <v>699</v>
      </c>
      <c r="C57" s="11" t="s">
        <v>392</v>
      </c>
      <c r="D57" s="11" t="s">
        <v>8</v>
      </c>
      <c r="E57" s="11" t="s">
        <v>599</v>
      </c>
      <c r="F57" s="11" t="s">
        <v>4</v>
      </c>
      <c r="G57" s="11" t="s">
        <v>591</v>
      </c>
      <c r="H57" s="11" t="s">
        <v>592</v>
      </c>
      <c r="I57" s="11" t="s">
        <v>593</v>
      </c>
      <c r="J57" s="14">
        <v>45.44</v>
      </c>
    </row>
    <row r="58" spans="1:10" ht="210" x14ac:dyDescent="0.15">
      <c r="A58" s="11" t="s">
        <v>700</v>
      </c>
      <c r="B58" s="11" t="s">
        <v>701</v>
      </c>
      <c r="C58" s="11" t="s">
        <v>304</v>
      </c>
      <c r="D58" s="11" t="s">
        <v>8</v>
      </c>
      <c r="E58" s="11" t="s">
        <v>608</v>
      </c>
      <c r="F58" s="11" t="s">
        <v>4</v>
      </c>
      <c r="G58" s="11" t="s">
        <v>591</v>
      </c>
      <c r="H58" s="11" t="s">
        <v>592</v>
      </c>
      <c r="I58" s="11" t="s">
        <v>593</v>
      </c>
      <c r="J58" s="14">
        <v>55.49</v>
      </c>
    </row>
    <row r="59" spans="1:10" ht="210" x14ac:dyDescent="0.15">
      <c r="A59" s="11" t="s">
        <v>700</v>
      </c>
      <c r="B59" s="11" t="s">
        <v>701</v>
      </c>
      <c r="C59" s="11" t="s">
        <v>304</v>
      </c>
      <c r="D59" s="11" t="s">
        <v>8</v>
      </c>
      <c r="E59" s="11" t="s">
        <v>608</v>
      </c>
      <c r="F59" s="11" t="s">
        <v>4</v>
      </c>
      <c r="G59" s="11" t="s">
        <v>591</v>
      </c>
      <c r="H59" s="11" t="s">
        <v>592</v>
      </c>
      <c r="I59" s="11" t="s">
        <v>593</v>
      </c>
      <c r="J59" s="14">
        <v>55.49</v>
      </c>
    </row>
    <row r="60" spans="1:10" ht="210" x14ac:dyDescent="0.15">
      <c r="A60" s="11" t="s">
        <v>702</v>
      </c>
      <c r="B60" s="11" t="s">
        <v>703</v>
      </c>
      <c r="C60" s="11" t="s">
        <v>380</v>
      </c>
      <c r="D60" s="11" t="s">
        <v>8</v>
      </c>
      <c r="E60" s="11" t="s">
        <v>673</v>
      </c>
      <c r="F60" s="11" t="s">
        <v>4</v>
      </c>
      <c r="G60" s="11" t="s">
        <v>591</v>
      </c>
      <c r="H60" s="11" t="s">
        <v>592</v>
      </c>
      <c r="I60" s="11" t="s">
        <v>593</v>
      </c>
      <c r="J60" s="14">
        <v>55.49</v>
      </c>
    </row>
    <row r="61" spans="1:10" ht="210" x14ac:dyDescent="0.15">
      <c r="A61" s="11" t="s">
        <v>704</v>
      </c>
      <c r="B61" s="11" t="s">
        <v>705</v>
      </c>
      <c r="C61" s="11" t="s">
        <v>340</v>
      </c>
      <c r="D61" s="11" t="s">
        <v>8</v>
      </c>
      <c r="E61" s="11" t="s">
        <v>611</v>
      </c>
      <c r="F61" s="11" t="s">
        <v>4</v>
      </c>
      <c r="G61" s="11" t="s">
        <v>591</v>
      </c>
      <c r="H61" s="11" t="s">
        <v>592</v>
      </c>
      <c r="I61" s="11" t="s">
        <v>593</v>
      </c>
      <c r="J61" s="14">
        <v>52.36</v>
      </c>
    </row>
    <row r="62" spans="1:10" ht="210" x14ac:dyDescent="0.15">
      <c r="A62" s="11" t="s">
        <v>706</v>
      </c>
      <c r="B62" s="11" t="s">
        <v>707</v>
      </c>
      <c r="C62" s="11" t="s">
        <v>344</v>
      </c>
      <c r="D62" s="11" t="s">
        <v>8</v>
      </c>
      <c r="E62" s="11" t="s">
        <v>602</v>
      </c>
      <c r="F62" s="11" t="s">
        <v>4</v>
      </c>
      <c r="G62" s="11" t="s">
        <v>591</v>
      </c>
      <c r="H62" s="11" t="s">
        <v>592</v>
      </c>
      <c r="I62" s="11" t="s">
        <v>593</v>
      </c>
      <c r="J62" s="14">
        <v>50.21</v>
      </c>
    </row>
    <row r="63" spans="1:10" ht="210" x14ac:dyDescent="0.15">
      <c r="A63" s="11" t="s">
        <v>708</v>
      </c>
      <c r="B63" s="11" t="s">
        <v>709</v>
      </c>
      <c r="C63" s="11" t="s">
        <v>512</v>
      </c>
      <c r="D63" s="11" t="s">
        <v>8</v>
      </c>
      <c r="E63" s="11" t="s">
        <v>646</v>
      </c>
      <c r="F63" s="11" t="s">
        <v>4</v>
      </c>
      <c r="G63" s="11" t="s">
        <v>591</v>
      </c>
      <c r="H63" s="11" t="s">
        <v>592</v>
      </c>
      <c r="I63" s="11" t="s">
        <v>593</v>
      </c>
      <c r="J63" s="14">
        <v>33.96</v>
      </c>
    </row>
    <row r="64" spans="1:10" ht="210" x14ac:dyDescent="0.15">
      <c r="A64" s="11" t="s">
        <v>710</v>
      </c>
      <c r="B64" s="11" t="s">
        <v>711</v>
      </c>
      <c r="C64" s="11" t="s">
        <v>164</v>
      </c>
      <c r="D64" s="11" t="s">
        <v>8</v>
      </c>
      <c r="E64" s="11" t="s">
        <v>602</v>
      </c>
      <c r="F64" s="11" t="s">
        <v>4</v>
      </c>
      <c r="G64" s="11" t="s">
        <v>591</v>
      </c>
      <c r="H64" s="11" t="s">
        <v>592</v>
      </c>
      <c r="I64" s="11" t="s">
        <v>593</v>
      </c>
      <c r="J64" s="14">
        <v>48.36</v>
      </c>
    </row>
    <row r="65" spans="1:10" ht="210" x14ac:dyDescent="0.15">
      <c r="A65" s="11" t="s">
        <v>712</v>
      </c>
      <c r="B65" s="11" t="s">
        <v>713</v>
      </c>
      <c r="C65" s="11" t="s">
        <v>348</v>
      </c>
      <c r="D65" s="11" t="s">
        <v>8</v>
      </c>
      <c r="E65" s="11" t="s">
        <v>599</v>
      </c>
      <c r="F65" s="11" t="s">
        <v>4</v>
      </c>
      <c r="G65" s="11" t="s">
        <v>591</v>
      </c>
      <c r="H65" s="11" t="s">
        <v>592</v>
      </c>
      <c r="I65" s="11" t="s">
        <v>593</v>
      </c>
      <c r="J65" s="14">
        <v>39.86</v>
      </c>
    </row>
    <row r="66" spans="1:10" ht="210" x14ac:dyDescent="0.15">
      <c r="A66" s="11" t="s">
        <v>714</v>
      </c>
      <c r="B66" s="11" t="s">
        <v>715</v>
      </c>
      <c r="C66" s="11" t="s">
        <v>476</v>
      </c>
      <c r="D66" s="11" t="s">
        <v>8</v>
      </c>
      <c r="E66" s="11" t="s">
        <v>605</v>
      </c>
      <c r="F66" s="11" t="s">
        <v>4</v>
      </c>
      <c r="G66" s="11" t="s">
        <v>591</v>
      </c>
      <c r="H66" s="11" t="s">
        <v>592</v>
      </c>
      <c r="I66" s="11" t="s">
        <v>593</v>
      </c>
      <c r="J66" s="14">
        <v>34.299999999999997</v>
      </c>
    </row>
    <row r="67" spans="1:10" ht="210" x14ac:dyDescent="0.15">
      <c r="A67" s="11" t="s">
        <v>716</v>
      </c>
      <c r="B67" s="11" t="s">
        <v>717</v>
      </c>
      <c r="C67" s="11" t="s">
        <v>308</v>
      </c>
      <c r="D67" s="11" t="s">
        <v>8</v>
      </c>
      <c r="E67" s="11" t="s">
        <v>616</v>
      </c>
      <c r="F67" s="11" t="s">
        <v>4</v>
      </c>
      <c r="G67" s="11" t="s">
        <v>591</v>
      </c>
      <c r="H67" s="11" t="s">
        <v>592</v>
      </c>
      <c r="I67" s="11" t="s">
        <v>593</v>
      </c>
      <c r="J67" s="14">
        <v>35.71</v>
      </c>
    </row>
    <row r="68" spans="1:10" ht="210" x14ac:dyDescent="0.15">
      <c r="A68" s="11" t="s">
        <v>718</v>
      </c>
      <c r="B68" s="11" t="s">
        <v>719</v>
      </c>
      <c r="C68" s="11" t="s">
        <v>68</v>
      </c>
      <c r="D68" s="11" t="s">
        <v>8</v>
      </c>
      <c r="E68" s="11" t="s">
        <v>605</v>
      </c>
      <c r="F68" s="11" t="s">
        <v>4</v>
      </c>
      <c r="G68" s="11" t="s">
        <v>591</v>
      </c>
      <c r="H68" s="11" t="s">
        <v>592</v>
      </c>
      <c r="I68" s="11" t="s">
        <v>593</v>
      </c>
      <c r="J68" s="14">
        <v>55.49</v>
      </c>
    </row>
    <row r="69" spans="1:10" ht="210" x14ac:dyDescent="0.15">
      <c r="A69" s="11" t="s">
        <v>720</v>
      </c>
      <c r="B69" s="11" t="s">
        <v>721</v>
      </c>
      <c r="C69" s="11" t="s">
        <v>212</v>
      </c>
      <c r="D69" s="11" t="s">
        <v>8</v>
      </c>
      <c r="E69" s="11" t="s">
        <v>611</v>
      </c>
      <c r="F69" s="11" t="s">
        <v>4</v>
      </c>
      <c r="G69" s="11" t="s">
        <v>591</v>
      </c>
      <c r="H69" s="11" t="s">
        <v>592</v>
      </c>
      <c r="I69" s="11" t="s">
        <v>593</v>
      </c>
      <c r="J69" s="14">
        <v>55.49</v>
      </c>
    </row>
    <row r="70" spans="1:10" ht="210" x14ac:dyDescent="0.15">
      <c r="A70" s="11" t="s">
        <v>722</v>
      </c>
      <c r="B70" s="11" t="s">
        <v>723</v>
      </c>
      <c r="C70" s="11" t="s">
        <v>356</v>
      </c>
      <c r="D70" s="11" t="s">
        <v>8</v>
      </c>
      <c r="E70" s="11" t="s">
        <v>599</v>
      </c>
      <c r="F70" s="11" t="s">
        <v>4</v>
      </c>
      <c r="G70" s="11" t="s">
        <v>591</v>
      </c>
      <c r="H70" s="11" t="s">
        <v>592</v>
      </c>
      <c r="I70" s="11" t="s">
        <v>593</v>
      </c>
      <c r="J70" s="14">
        <v>50.44</v>
      </c>
    </row>
    <row r="71" spans="1:10" ht="210" x14ac:dyDescent="0.15">
      <c r="A71" s="11" t="s">
        <v>867</v>
      </c>
      <c r="B71" s="11" t="s">
        <v>724</v>
      </c>
      <c r="C71" s="11" t="s">
        <v>276</v>
      </c>
      <c r="D71" s="11" t="s">
        <v>8</v>
      </c>
      <c r="E71" s="11" t="s">
        <v>602</v>
      </c>
      <c r="F71" s="11" t="s">
        <v>4</v>
      </c>
      <c r="G71" s="11" t="s">
        <v>591</v>
      </c>
      <c r="H71" s="11" t="s">
        <v>592</v>
      </c>
      <c r="I71" s="11" t="s">
        <v>593</v>
      </c>
      <c r="J71" s="14">
        <v>0</v>
      </c>
    </row>
    <row r="72" spans="1:10" ht="210" x14ac:dyDescent="0.15">
      <c r="A72" s="11" t="s">
        <v>867</v>
      </c>
      <c r="B72" s="11" t="s">
        <v>724</v>
      </c>
      <c r="C72" s="11" t="s">
        <v>276</v>
      </c>
      <c r="D72" s="11" t="s">
        <v>8</v>
      </c>
      <c r="E72" s="11" t="s">
        <v>602</v>
      </c>
      <c r="F72" s="11" t="s">
        <v>4</v>
      </c>
      <c r="G72" s="11" t="s">
        <v>591</v>
      </c>
      <c r="H72" s="11" t="s">
        <v>592</v>
      </c>
      <c r="I72" s="11" t="s">
        <v>593</v>
      </c>
      <c r="J72" s="14">
        <v>0</v>
      </c>
    </row>
    <row r="73" spans="1:10" ht="210" x14ac:dyDescent="0.15">
      <c r="A73" s="11" t="s">
        <v>867</v>
      </c>
      <c r="B73" s="11" t="s">
        <v>724</v>
      </c>
      <c r="C73" s="11" t="s">
        <v>276</v>
      </c>
      <c r="D73" s="11" t="s">
        <v>8</v>
      </c>
      <c r="E73" s="11" t="s">
        <v>602</v>
      </c>
      <c r="F73" s="11" t="s">
        <v>4</v>
      </c>
      <c r="G73" s="11" t="s">
        <v>591</v>
      </c>
      <c r="H73" s="11" t="s">
        <v>592</v>
      </c>
      <c r="I73" s="11" t="s">
        <v>593</v>
      </c>
      <c r="J73" s="14">
        <v>0</v>
      </c>
    </row>
    <row r="74" spans="1:10" ht="210" x14ac:dyDescent="0.15">
      <c r="A74" s="11" t="s">
        <v>867</v>
      </c>
      <c r="B74" s="11" t="s">
        <v>724</v>
      </c>
      <c r="C74" s="11" t="s">
        <v>276</v>
      </c>
      <c r="D74" s="11" t="s">
        <v>8</v>
      </c>
      <c r="E74" s="11" t="s">
        <v>602</v>
      </c>
      <c r="F74" s="11" t="s">
        <v>4</v>
      </c>
      <c r="G74" s="11" t="s">
        <v>591</v>
      </c>
      <c r="H74" s="11" t="s">
        <v>592</v>
      </c>
      <c r="I74" s="11" t="s">
        <v>593</v>
      </c>
      <c r="J74" s="14">
        <v>0</v>
      </c>
    </row>
    <row r="75" spans="1:10" ht="210" x14ac:dyDescent="0.15">
      <c r="A75" s="11" t="s">
        <v>867</v>
      </c>
      <c r="B75" s="11" t="s">
        <v>724</v>
      </c>
      <c r="C75" s="11" t="s">
        <v>276</v>
      </c>
      <c r="D75" s="11" t="s">
        <v>8</v>
      </c>
      <c r="E75" s="11" t="s">
        <v>602</v>
      </c>
      <c r="F75" s="11" t="s">
        <v>4</v>
      </c>
      <c r="G75" s="11" t="s">
        <v>591</v>
      </c>
      <c r="H75" s="11" t="s">
        <v>592</v>
      </c>
      <c r="I75" s="11" t="s">
        <v>593</v>
      </c>
      <c r="J75" s="14">
        <v>0</v>
      </c>
    </row>
    <row r="76" spans="1:10" ht="210" x14ac:dyDescent="0.15">
      <c r="A76" s="11" t="s">
        <v>725</v>
      </c>
      <c r="B76" s="11" t="s">
        <v>726</v>
      </c>
      <c r="C76" s="11" t="s">
        <v>352</v>
      </c>
      <c r="D76" s="11" t="s">
        <v>8</v>
      </c>
      <c r="E76" s="11" t="s">
        <v>611</v>
      </c>
      <c r="F76" s="11" t="s">
        <v>4</v>
      </c>
      <c r="G76" s="11" t="s">
        <v>591</v>
      </c>
      <c r="H76" s="11" t="s">
        <v>592</v>
      </c>
      <c r="I76" s="11" t="s">
        <v>593</v>
      </c>
      <c r="J76" s="14">
        <v>50.44</v>
      </c>
    </row>
    <row r="77" spans="1:10" ht="210" x14ac:dyDescent="0.15">
      <c r="A77" s="11" t="s">
        <v>727</v>
      </c>
      <c r="B77" s="11" t="s">
        <v>728</v>
      </c>
      <c r="C77" s="11" t="s">
        <v>280</v>
      </c>
      <c r="D77" s="11" t="s">
        <v>8</v>
      </c>
      <c r="E77" s="11" t="s">
        <v>673</v>
      </c>
      <c r="F77" s="11" t="s">
        <v>4</v>
      </c>
      <c r="G77" s="11" t="s">
        <v>591</v>
      </c>
      <c r="H77" s="11" t="s">
        <v>592</v>
      </c>
      <c r="I77" s="11" t="s">
        <v>593</v>
      </c>
      <c r="J77" s="14">
        <v>34.299999999999997</v>
      </c>
    </row>
    <row r="78" spans="1:10" ht="210" x14ac:dyDescent="0.15">
      <c r="A78" s="11" t="s">
        <v>729</v>
      </c>
      <c r="B78" s="11" t="s">
        <v>730</v>
      </c>
      <c r="C78" s="11" t="s">
        <v>72</v>
      </c>
      <c r="D78" s="11" t="s">
        <v>8</v>
      </c>
      <c r="E78" s="11" t="s">
        <v>637</v>
      </c>
      <c r="F78" s="11" t="s">
        <v>4</v>
      </c>
      <c r="G78" s="11" t="s">
        <v>591</v>
      </c>
      <c r="H78" s="11" t="s">
        <v>592</v>
      </c>
      <c r="I78" s="11" t="s">
        <v>593</v>
      </c>
      <c r="J78" s="14">
        <v>47.39</v>
      </c>
    </row>
    <row r="79" spans="1:10" ht="210" x14ac:dyDescent="0.15">
      <c r="A79" s="11" t="s">
        <v>731</v>
      </c>
      <c r="B79" s="11" t="s">
        <v>732</v>
      </c>
      <c r="C79" s="11" t="s">
        <v>248</v>
      </c>
      <c r="D79" s="11" t="s">
        <v>8</v>
      </c>
      <c r="E79" s="11" t="s">
        <v>673</v>
      </c>
      <c r="F79" s="11" t="s">
        <v>4</v>
      </c>
      <c r="G79" s="11" t="s">
        <v>591</v>
      </c>
      <c r="H79" s="11" t="s">
        <v>592</v>
      </c>
      <c r="I79" s="11" t="s">
        <v>593</v>
      </c>
      <c r="J79" s="14">
        <v>52.36</v>
      </c>
    </row>
    <row r="80" spans="1:10" ht="210" x14ac:dyDescent="0.15">
      <c r="A80" s="11" t="s">
        <v>733</v>
      </c>
      <c r="B80" s="11" t="s">
        <v>734</v>
      </c>
      <c r="C80" s="11" t="s">
        <v>196</v>
      </c>
      <c r="D80" s="11" t="s">
        <v>8</v>
      </c>
      <c r="E80" s="11" t="s">
        <v>608</v>
      </c>
      <c r="F80" s="11" t="s">
        <v>4</v>
      </c>
      <c r="G80" s="11" t="s">
        <v>591</v>
      </c>
      <c r="H80" s="11" t="s">
        <v>592</v>
      </c>
      <c r="I80" s="11" t="s">
        <v>593</v>
      </c>
      <c r="J80" s="14">
        <v>52.36</v>
      </c>
    </row>
    <row r="81" spans="1:10" ht="210" x14ac:dyDescent="0.15">
      <c r="A81" s="11" t="s">
        <v>735</v>
      </c>
      <c r="B81" s="11" t="s">
        <v>736</v>
      </c>
      <c r="C81" s="11" t="s">
        <v>108</v>
      </c>
      <c r="D81" s="11" t="s">
        <v>8</v>
      </c>
      <c r="E81" s="11" t="s">
        <v>616</v>
      </c>
      <c r="F81" s="11" t="s">
        <v>4</v>
      </c>
      <c r="G81" s="11" t="s">
        <v>591</v>
      </c>
      <c r="H81" s="11" t="s">
        <v>592</v>
      </c>
      <c r="I81" s="11" t="s">
        <v>593</v>
      </c>
      <c r="J81" s="14">
        <v>34.299999999999997</v>
      </c>
    </row>
    <row r="82" spans="1:10" ht="210" x14ac:dyDescent="0.15">
      <c r="A82" s="11" t="s">
        <v>737</v>
      </c>
      <c r="B82" s="11" t="s">
        <v>738</v>
      </c>
      <c r="C82" s="11" t="s">
        <v>112</v>
      </c>
      <c r="D82" s="11" t="s">
        <v>8</v>
      </c>
      <c r="E82" s="11" t="s">
        <v>599</v>
      </c>
      <c r="F82" s="11" t="s">
        <v>4</v>
      </c>
      <c r="G82" s="11" t="s">
        <v>591</v>
      </c>
      <c r="H82" s="11" t="s">
        <v>592</v>
      </c>
      <c r="I82" s="11" t="s">
        <v>593</v>
      </c>
      <c r="J82" s="14">
        <v>42.25</v>
      </c>
    </row>
    <row r="83" spans="1:10" ht="210" x14ac:dyDescent="0.15">
      <c r="A83" s="11" t="s">
        <v>739</v>
      </c>
      <c r="B83" s="11" t="s">
        <v>740</v>
      </c>
      <c r="C83" s="11" t="s">
        <v>232</v>
      </c>
      <c r="D83" s="11" t="s">
        <v>8</v>
      </c>
      <c r="E83" s="11" t="s">
        <v>673</v>
      </c>
      <c r="F83" s="11" t="s">
        <v>4</v>
      </c>
      <c r="G83" s="11" t="s">
        <v>591</v>
      </c>
      <c r="H83" s="11" t="s">
        <v>592</v>
      </c>
      <c r="I83" s="11" t="s">
        <v>593</v>
      </c>
      <c r="J83" s="14">
        <v>47.39</v>
      </c>
    </row>
    <row r="84" spans="1:10" ht="210" x14ac:dyDescent="0.15">
      <c r="A84" s="11" t="s">
        <v>741</v>
      </c>
      <c r="B84" s="11" t="s">
        <v>742</v>
      </c>
      <c r="C84" s="11" t="s">
        <v>472</v>
      </c>
      <c r="D84" s="11" t="s">
        <v>8</v>
      </c>
      <c r="E84" s="11" t="s">
        <v>637</v>
      </c>
      <c r="F84" s="11" t="s">
        <v>4</v>
      </c>
      <c r="G84" s="11" t="s">
        <v>591</v>
      </c>
      <c r="H84" s="11" t="s">
        <v>592</v>
      </c>
      <c r="I84" s="11" t="s">
        <v>593</v>
      </c>
      <c r="J84" s="14">
        <v>34.299999999999997</v>
      </c>
    </row>
    <row r="85" spans="1:10" ht="210" x14ac:dyDescent="0.15">
      <c r="A85" s="11" t="s">
        <v>743</v>
      </c>
      <c r="B85" s="11" t="s">
        <v>744</v>
      </c>
      <c r="C85" s="11" t="s">
        <v>480</v>
      </c>
      <c r="D85" s="11" t="s">
        <v>8</v>
      </c>
      <c r="E85" s="11" t="s">
        <v>611</v>
      </c>
      <c r="F85" s="11" t="s">
        <v>4</v>
      </c>
      <c r="G85" s="11" t="s">
        <v>591</v>
      </c>
      <c r="H85" s="11" t="s">
        <v>592</v>
      </c>
      <c r="I85" s="11" t="s">
        <v>593</v>
      </c>
      <c r="J85" s="14">
        <v>52.36</v>
      </c>
    </row>
    <row r="86" spans="1:10" ht="210" x14ac:dyDescent="0.15">
      <c r="A86" s="11" t="s">
        <v>745</v>
      </c>
      <c r="B86" s="11" t="s">
        <v>746</v>
      </c>
      <c r="C86" s="11" t="s">
        <v>116</v>
      </c>
      <c r="D86" s="11" t="s">
        <v>8</v>
      </c>
      <c r="E86" s="11" t="s">
        <v>599</v>
      </c>
      <c r="F86" s="11" t="s">
        <v>4</v>
      </c>
      <c r="G86" s="11" t="s">
        <v>591</v>
      </c>
      <c r="H86" s="11" t="s">
        <v>592</v>
      </c>
      <c r="I86" s="11" t="s">
        <v>593</v>
      </c>
      <c r="J86" s="14">
        <v>50.44</v>
      </c>
    </row>
    <row r="87" spans="1:10" ht="210" x14ac:dyDescent="0.15">
      <c r="A87" s="11" t="s">
        <v>747</v>
      </c>
      <c r="B87" s="11" t="s">
        <v>748</v>
      </c>
      <c r="C87" s="11" t="s">
        <v>104</v>
      </c>
      <c r="D87" s="11" t="s">
        <v>8</v>
      </c>
      <c r="E87" s="11" t="s">
        <v>749</v>
      </c>
      <c r="F87" s="11" t="s">
        <v>4</v>
      </c>
      <c r="G87" s="11" t="s">
        <v>591</v>
      </c>
      <c r="H87" s="11" t="s">
        <v>592</v>
      </c>
      <c r="I87" s="11" t="s">
        <v>593</v>
      </c>
      <c r="J87" s="14">
        <v>36.43</v>
      </c>
    </row>
    <row r="88" spans="1:10" ht="210" x14ac:dyDescent="0.15">
      <c r="A88" s="11" t="s">
        <v>750</v>
      </c>
      <c r="B88" s="11" t="s">
        <v>751</v>
      </c>
      <c r="C88" s="11" t="s">
        <v>200</v>
      </c>
      <c r="D88" s="11" t="s">
        <v>8</v>
      </c>
      <c r="E88" s="11" t="s">
        <v>673</v>
      </c>
      <c r="F88" s="11" t="s">
        <v>4</v>
      </c>
      <c r="G88" s="11" t="s">
        <v>591</v>
      </c>
      <c r="H88" s="11" t="s">
        <v>592</v>
      </c>
      <c r="I88" s="11" t="s">
        <v>593</v>
      </c>
      <c r="J88" s="14">
        <v>52.36</v>
      </c>
    </row>
    <row r="89" spans="1:10" ht="210" x14ac:dyDescent="0.15">
      <c r="A89" s="11" t="s">
        <v>752</v>
      </c>
      <c r="B89" s="11" t="s">
        <v>753</v>
      </c>
      <c r="C89" s="11" t="s">
        <v>488</v>
      </c>
      <c r="D89" s="11" t="s">
        <v>8</v>
      </c>
      <c r="E89" s="11" t="s">
        <v>673</v>
      </c>
      <c r="F89" s="11" t="s">
        <v>4</v>
      </c>
      <c r="G89" s="11" t="s">
        <v>591</v>
      </c>
      <c r="H89" s="11" t="s">
        <v>592</v>
      </c>
      <c r="I89" s="11" t="s">
        <v>593</v>
      </c>
      <c r="J89" s="14">
        <v>50.44</v>
      </c>
    </row>
    <row r="90" spans="1:10" ht="210" x14ac:dyDescent="0.15">
      <c r="A90" s="11" t="s">
        <v>754</v>
      </c>
      <c r="B90" s="11" t="s">
        <v>755</v>
      </c>
      <c r="C90" s="11" t="s">
        <v>456</v>
      </c>
      <c r="D90" s="11" t="s">
        <v>8</v>
      </c>
      <c r="E90" s="11" t="s">
        <v>673</v>
      </c>
      <c r="F90" s="11" t="s">
        <v>4</v>
      </c>
      <c r="G90" s="11" t="s">
        <v>591</v>
      </c>
      <c r="H90" s="11" t="s">
        <v>592</v>
      </c>
      <c r="I90" s="11" t="s">
        <v>593</v>
      </c>
      <c r="J90" s="14">
        <v>52.36</v>
      </c>
    </row>
    <row r="91" spans="1:10" ht="210" x14ac:dyDescent="0.15">
      <c r="A91" s="11" t="s">
        <v>756</v>
      </c>
      <c r="B91" s="11" t="s">
        <v>757</v>
      </c>
      <c r="C91" s="11" t="s">
        <v>168</v>
      </c>
      <c r="D91" s="11" t="s">
        <v>8</v>
      </c>
      <c r="E91" s="11" t="s">
        <v>611</v>
      </c>
      <c r="F91" s="11" t="s">
        <v>4</v>
      </c>
      <c r="G91" s="11" t="s">
        <v>591</v>
      </c>
      <c r="H91" s="11" t="s">
        <v>592</v>
      </c>
      <c r="I91" s="11" t="s">
        <v>593</v>
      </c>
      <c r="J91" s="14">
        <v>55.49</v>
      </c>
    </row>
    <row r="92" spans="1:10" ht="210" x14ac:dyDescent="0.15">
      <c r="A92" s="11" t="s">
        <v>758</v>
      </c>
      <c r="B92" s="11" t="s">
        <v>759</v>
      </c>
      <c r="C92" s="11" t="s">
        <v>256</v>
      </c>
      <c r="D92" s="11" t="s">
        <v>8</v>
      </c>
      <c r="E92" s="11" t="s">
        <v>605</v>
      </c>
      <c r="F92" s="11" t="s">
        <v>4</v>
      </c>
      <c r="G92" s="11" t="s">
        <v>591</v>
      </c>
      <c r="H92" s="11" t="s">
        <v>592</v>
      </c>
      <c r="I92" s="11" t="s">
        <v>593</v>
      </c>
      <c r="J92" s="14">
        <v>47.39</v>
      </c>
    </row>
    <row r="93" spans="1:10" ht="210" x14ac:dyDescent="0.15">
      <c r="A93" s="11" t="s">
        <v>760</v>
      </c>
      <c r="B93" s="11" t="s">
        <v>761</v>
      </c>
      <c r="C93" s="11" t="s">
        <v>360</v>
      </c>
      <c r="D93" s="11" t="s">
        <v>8</v>
      </c>
      <c r="E93" s="11" t="s">
        <v>611</v>
      </c>
      <c r="F93" s="11" t="s">
        <v>4</v>
      </c>
      <c r="G93" s="11" t="s">
        <v>591</v>
      </c>
      <c r="H93" s="11" t="s">
        <v>592</v>
      </c>
      <c r="I93" s="11" t="s">
        <v>593</v>
      </c>
      <c r="J93" s="14">
        <v>50.44</v>
      </c>
    </row>
    <row r="94" spans="1:10" ht="210" x14ac:dyDescent="0.15">
      <c r="A94" s="11" t="s">
        <v>762</v>
      </c>
      <c r="B94" s="11" t="s">
        <v>763</v>
      </c>
      <c r="C94" s="11" t="s">
        <v>120</v>
      </c>
      <c r="D94" s="11" t="s">
        <v>8</v>
      </c>
      <c r="E94" s="11" t="s">
        <v>599</v>
      </c>
      <c r="F94" s="11" t="s">
        <v>4</v>
      </c>
      <c r="G94" s="11" t="s">
        <v>591</v>
      </c>
      <c r="H94" s="11" t="s">
        <v>592</v>
      </c>
      <c r="I94" s="11" t="s">
        <v>593</v>
      </c>
      <c r="J94" s="14">
        <v>39.86</v>
      </c>
    </row>
    <row r="95" spans="1:10" ht="210" x14ac:dyDescent="0.15">
      <c r="A95" s="11" t="s">
        <v>764</v>
      </c>
      <c r="B95" s="11" t="s">
        <v>765</v>
      </c>
      <c r="C95" s="11" t="s">
        <v>172</v>
      </c>
      <c r="D95" s="11" t="s">
        <v>8</v>
      </c>
      <c r="E95" s="11" t="s">
        <v>611</v>
      </c>
      <c r="F95" s="11" t="s">
        <v>4</v>
      </c>
      <c r="G95" s="11" t="s">
        <v>591</v>
      </c>
      <c r="H95" s="11" t="s">
        <v>592</v>
      </c>
      <c r="I95" s="11" t="s">
        <v>593</v>
      </c>
      <c r="J95" s="14">
        <v>34.299999999999997</v>
      </c>
    </row>
    <row r="96" spans="1:10" ht="210" x14ac:dyDescent="0.15">
      <c r="A96" s="11" t="s">
        <v>766</v>
      </c>
      <c r="B96" s="11" t="s">
        <v>767</v>
      </c>
      <c r="C96" s="11" t="s">
        <v>508</v>
      </c>
      <c r="D96" s="11" t="s">
        <v>8</v>
      </c>
      <c r="E96" s="11" t="s">
        <v>599</v>
      </c>
      <c r="F96" s="11" t="s">
        <v>4</v>
      </c>
      <c r="G96" s="11" t="s">
        <v>591</v>
      </c>
      <c r="H96" s="11" t="s">
        <v>592</v>
      </c>
      <c r="I96" s="11" t="s">
        <v>593</v>
      </c>
      <c r="J96" s="14">
        <v>45.44</v>
      </c>
    </row>
    <row r="97" spans="1:10" ht="210" x14ac:dyDescent="0.15">
      <c r="A97" s="11" t="s">
        <v>768</v>
      </c>
      <c r="B97" s="11" t="s">
        <v>769</v>
      </c>
      <c r="C97" s="11" t="s">
        <v>364</v>
      </c>
      <c r="D97" s="11" t="s">
        <v>8</v>
      </c>
      <c r="E97" s="11" t="s">
        <v>602</v>
      </c>
      <c r="F97" s="11" t="s">
        <v>4</v>
      </c>
      <c r="G97" s="11" t="s">
        <v>591</v>
      </c>
      <c r="H97" s="11" t="s">
        <v>592</v>
      </c>
      <c r="I97" s="11" t="s">
        <v>593</v>
      </c>
      <c r="J97" s="14">
        <v>50.21</v>
      </c>
    </row>
    <row r="98" spans="1:10" ht="210" x14ac:dyDescent="0.15">
      <c r="A98" s="11" t="s">
        <v>770</v>
      </c>
      <c r="B98" s="11" t="s">
        <v>771</v>
      </c>
      <c r="C98" s="11" t="s">
        <v>152</v>
      </c>
      <c r="D98" s="11" t="s">
        <v>8</v>
      </c>
      <c r="E98" s="11" t="s">
        <v>602</v>
      </c>
      <c r="F98" s="11" t="s">
        <v>4</v>
      </c>
      <c r="G98" s="11" t="s">
        <v>591</v>
      </c>
      <c r="H98" s="11" t="s">
        <v>592</v>
      </c>
      <c r="I98" s="11" t="s">
        <v>593</v>
      </c>
      <c r="J98" s="14">
        <v>34.299999999999997</v>
      </c>
    </row>
    <row r="99" spans="1:10" ht="210" x14ac:dyDescent="0.15">
      <c r="A99" s="11" t="s">
        <v>772</v>
      </c>
      <c r="B99" s="11" t="s">
        <v>773</v>
      </c>
      <c r="C99" s="11" t="s">
        <v>368</v>
      </c>
      <c r="D99" s="11" t="s">
        <v>8</v>
      </c>
      <c r="E99" s="11" t="s">
        <v>605</v>
      </c>
      <c r="F99" s="11" t="s">
        <v>4</v>
      </c>
      <c r="G99" s="11" t="s">
        <v>591</v>
      </c>
      <c r="H99" s="11" t="s">
        <v>592</v>
      </c>
      <c r="I99" s="11" t="s">
        <v>593</v>
      </c>
      <c r="J99" s="14">
        <v>50.44</v>
      </c>
    </row>
    <row r="100" spans="1:10" ht="210" x14ac:dyDescent="0.15">
      <c r="A100" s="11" t="s">
        <v>774</v>
      </c>
      <c r="B100" s="11" t="s">
        <v>775</v>
      </c>
      <c r="C100" s="11" t="s">
        <v>284</v>
      </c>
      <c r="D100" s="11" t="s">
        <v>8</v>
      </c>
      <c r="E100" s="11" t="s">
        <v>637</v>
      </c>
      <c r="F100" s="11" t="s">
        <v>4</v>
      </c>
      <c r="G100" s="11" t="s">
        <v>591</v>
      </c>
      <c r="H100" s="11" t="s">
        <v>592</v>
      </c>
      <c r="I100" s="11" t="s">
        <v>593</v>
      </c>
      <c r="J100" s="14">
        <v>50.44</v>
      </c>
    </row>
    <row r="101" spans="1:10" ht="210" x14ac:dyDescent="0.15">
      <c r="A101" s="11" t="s">
        <v>776</v>
      </c>
      <c r="B101" s="11" t="s">
        <v>777</v>
      </c>
      <c r="C101" s="11" t="s">
        <v>528</v>
      </c>
      <c r="D101" s="11" t="s">
        <v>8</v>
      </c>
      <c r="E101" s="11" t="s">
        <v>608</v>
      </c>
      <c r="F101" s="11" t="s">
        <v>4</v>
      </c>
      <c r="G101" s="11" t="s">
        <v>591</v>
      </c>
      <c r="H101" s="11" t="s">
        <v>592</v>
      </c>
      <c r="I101" s="11" t="s">
        <v>593</v>
      </c>
      <c r="J101" s="14">
        <v>34.299999999999997</v>
      </c>
    </row>
    <row r="102" spans="1:10" ht="210" x14ac:dyDescent="0.15">
      <c r="A102" s="11" t="s">
        <v>778</v>
      </c>
      <c r="B102" s="11" t="s">
        <v>779</v>
      </c>
      <c r="C102" s="11" t="s">
        <v>48</v>
      </c>
      <c r="D102" s="11" t="s">
        <v>8</v>
      </c>
      <c r="E102" s="11" t="s">
        <v>605</v>
      </c>
      <c r="F102" s="11" t="s">
        <v>4</v>
      </c>
      <c r="G102" s="11" t="s">
        <v>591</v>
      </c>
      <c r="H102" s="11" t="s">
        <v>592</v>
      </c>
      <c r="I102" s="11" t="s">
        <v>593</v>
      </c>
      <c r="J102" s="14">
        <v>52.36</v>
      </c>
    </row>
    <row r="103" spans="1:10" ht="210" x14ac:dyDescent="0.15">
      <c r="A103" s="11" t="s">
        <v>780</v>
      </c>
      <c r="B103" s="11" t="s">
        <v>781</v>
      </c>
      <c r="C103" s="11" t="s">
        <v>176</v>
      </c>
      <c r="D103" s="11" t="s">
        <v>8</v>
      </c>
      <c r="E103" s="11" t="s">
        <v>602</v>
      </c>
      <c r="F103" s="11" t="s">
        <v>4</v>
      </c>
      <c r="G103" s="11" t="s">
        <v>591</v>
      </c>
      <c r="H103" s="11" t="s">
        <v>592</v>
      </c>
      <c r="I103" s="11" t="s">
        <v>593</v>
      </c>
      <c r="J103" s="14">
        <v>48.36</v>
      </c>
    </row>
    <row r="104" spans="1:10" ht="210" x14ac:dyDescent="0.15">
      <c r="A104" s="11" t="s">
        <v>782</v>
      </c>
      <c r="B104" s="11" t="s">
        <v>783</v>
      </c>
      <c r="C104" s="11" t="s">
        <v>148</v>
      </c>
      <c r="D104" s="11" t="s">
        <v>8</v>
      </c>
      <c r="E104" s="11" t="s">
        <v>599</v>
      </c>
      <c r="F104" s="11" t="s">
        <v>4</v>
      </c>
      <c r="G104" s="11" t="s">
        <v>591</v>
      </c>
      <c r="H104" s="11" t="s">
        <v>592</v>
      </c>
      <c r="I104" s="11" t="s">
        <v>593</v>
      </c>
      <c r="J104" s="14">
        <v>39.86</v>
      </c>
    </row>
    <row r="105" spans="1:10" ht="210" x14ac:dyDescent="0.15">
      <c r="A105" s="11" t="s">
        <v>784</v>
      </c>
      <c r="B105" s="11" t="s">
        <v>785</v>
      </c>
      <c r="C105" s="11" t="s">
        <v>180</v>
      </c>
      <c r="D105" s="11" t="s">
        <v>8</v>
      </c>
      <c r="E105" s="11" t="s">
        <v>673</v>
      </c>
      <c r="F105" s="11" t="s">
        <v>4</v>
      </c>
      <c r="G105" s="11" t="s">
        <v>591</v>
      </c>
      <c r="H105" s="11" t="s">
        <v>592</v>
      </c>
      <c r="I105" s="11" t="s">
        <v>593</v>
      </c>
      <c r="J105" s="14">
        <v>50.44</v>
      </c>
    </row>
    <row r="106" spans="1:10" ht="210" x14ac:dyDescent="0.15">
      <c r="A106" s="11" t="s">
        <v>786</v>
      </c>
      <c r="B106" s="11" t="s">
        <v>787</v>
      </c>
      <c r="C106" s="11" t="s">
        <v>416</v>
      </c>
      <c r="D106" s="11" t="s">
        <v>8</v>
      </c>
      <c r="E106" s="11" t="s">
        <v>602</v>
      </c>
      <c r="F106" s="11" t="s">
        <v>4</v>
      </c>
      <c r="G106" s="11" t="s">
        <v>591</v>
      </c>
      <c r="H106" s="11" t="s">
        <v>592</v>
      </c>
      <c r="I106" s="11" t="s">
        <v>593</v>
      </c>
      <c r="J106" s="14">
        <v>36.43</v>
      </c>
    </row>
    <row r="107" spans="1:10" ht="210" x14ac:dyDescent="0.15">
      <c r="A107" s="11" t="s">
        <v>788</v>
      </c>
      <c r="B107" s="11" t="s">
        <v>789</v>
      </c>
      <c r="C107" s="11" t="s">
        <v>396</v>
      </c>
      <c r="D107" s="11" t="s">
        <v>8</v>
      </c>
      <c r="E107" s="11" t="s">
        <v>590</v>
      </c>
      <c r="F107" s="11" t="s">
        <v>4</v>
      </c>
      <c r="G107" s="11" t="s">
        <v>591</v>
      </c>
      <c r="H107" s="11" t="s">
        <v>592</v>
      </c>
      <c r="I107" s="11" t="s">
        <v>593</v>
      </c>
      <c r="J107" s="14">
        <v>47.39</v>
      </c>
    </row>
    <row r="108" spans="1:10" ht="210" x14ac:dyDescent="0.15">
      <c r="A108" s="11" t="s">
        <v>790</v>
      </c>
      <c r="B108" s="11" t="s">
        <v>791</v>
      </c>
      <c r="C108" s="11" t="s">
        <v>184</v>
      </c>
      <c r="D108" s="11" t="s">
        <v>8</v>
      </c>
      <c r="E108" s="11" t="s">
        <v>611</v>
      </c>
      <c r="F108" s="11" t="s">
        <v>4</v>
      </c>
      <c r="G108" s="11" t="s">
        <v>591</v>
      </c>
      <c r="H108" s="11" t="s">
        <v>592</v>
      </c>
      <c r="I108" s="11" t="s">
        <v>593</v>
      </c>
      <c r="J108" s="14">
        <v>34.299999999999997</v>
      </c>
    </row>
    <row r="109" spans="1:10" ht="210" x14ac:dyDescent="0.15">
      <c r="A109" s="11" t="s">
        <v>792</v>
      </c>
      <c r="B109" s="11" t="s">
        <v>793</v>
      </c>
      <c r="C109" s="11" t="s">
        <v>372</v>
      </c>
      <c r="D109" s="11" t="s">
        <v>8</v>
      </c>
      <c r="E109" s="11" t="s">
        <v>611</v>
      </c>
      <c r="F109" s="11" t="s">
        <v>4</v>
      </c>
      <c r="G109" s="11" t="s">
        <v>591</v>
      </c>
      <c r="H109" s="11" t="s">
        <v>592</v>
      </c>
      <c r="I109" s="11" t="s">
        <v>593</v>
      </c>
      <c r="J109" s="14">
        <v>0</v>
      </c>
    </row>
    <row r="110" spans="1:10" ht="210" x14ac:dyDescent="0.15">
      <c r="A110" s="11" t="s">
        <v>794</v>
      </c>
      <c r="B110" s="11" t="s">
        <v>795</v>
      </c>
      <c r="C110" s="11" t="s">
        <v>76</v>
      </c>
      <c r="D110" s="11" t="s">
        <v>8</v>
      </c>
      <c r="E110" s="11" t="s">
        <v>637</v>
      </c>
      <c r="F110" s="11" t="s">
        <v>4</v>
      </c>
      <c r="G110" s="11" t="s">
        <v>591</v>
      </c>
      <c r="H110" s="11" t="s">
        <v>592</v>
      </c>
      <c r="I110" s="11" t="s">
        <v>593</v>
      </c>
      <c r="J110" s="14">
        <v>34.299999999999997</v>
      </c>
    </row>
    <row r="111" spans="1:10" ht="210" x14ac:dyDescent="0.15">
      <c r="A111" s="11" t="s">
        <v>796</v>
      </c>
      <c r="B111" s="11" t="s">
        <v>797</v>
      </c>
      <c r="C111" s="11" t="s">
        <v>136</v>
      </c>
      <c r="D111" s="11" t="s">
        <v>8</v>
      </c>
      <c r="E111" s="11" t="s">
        <v>616</v>
      </c>
      <c r="F111" s="11" t="s">
        <v>4</v>
      </c>
      <c r="G111" s="11" t="s">
        <v>591</v>
      </c>
      <c r="H111" s="11" t="s">
        <v>592</v>
      </c>
      <c r="I111" s="11" t="s">
        <v>593</v>
      </c>
      <c r="J111" s="14">
        <v>42.69</v>
      </c>
    </row>
    <row r="112" spans="1:10" ht="210" x14ac:dyDescent="0.15">
      <c r="A112" s="11" t="s">
        <v>798</v>
      </c>
      <c r="B112" s="11" t="s">
        <v>799</v>
      </c>
      <c r="C112" s="11" t="s">
        <v>432</v>
      </c>
      <c r="D112" s="11" t="s">
        <v>8</v>
      </c>
      <c r="E112" s="11" t="s">
        <v>800</v>
      </c>
      <c r="F112" s="11" t="s">
        <v>4</v>
      </c>
      <c r="G112" s="11" t="s">
        <v>591</v>
      </c>
      <c r="H112" s="11" t="s">
        <v>592</v>
      </c>
      <c r="I112" s="11" t="s">
        <v>593</v>
      </c>
      <c r="J112" s="14">
        <v>44.12</v>
      </c>
    </row>
    <row r="113" spans="1:10" ht="210" x14ac:dyDescent="0.15">
      <c r="A113" s="11" t="s">
        <v>801</v>
      </c>
      <c r="B113" s="11" t="s">
        <v>802</v>
      </c>
      <c r="C113" s="11" t="s">
        <v>236</v>
      </c>
      <c r="D113" s="11" t="s">
        <v>8</v>
      </c>
      <c r="E113" s="11" t="s">
        <v>673</v>
      </c>
      <c r="F113" s="11" t="s">
        <v>4</v>
      </c>
      <c r="G113" s="11" t="s">
        <v>591</v>
      </c>
      <c r="H113" s="11" t="s">
        <v>592</v>
      </c>
      <c r="I113" s="11" t="s">
        <v>593</v>
      </c>
      <c r="J113" s="14">
        <v>34.299999999999997</v>
      </c>
    </row>
    <row r="114" spans="1:10" ht="210" x14ac:dyDescent="0.15">
      <c r="A114" s="11" t="s">
        <v>803</v>
      </c>
      <c r="B114" s="11" t="s">
        <v>804</v>
      </c>
      <c r="C114" s="11" t="s">
        <v>312</v>
      </c>
      <c r="D114" s="11" t="s">
        <v>8</v>
      </c>
      <c r="E114" s="11" t="s">
        <v>605</v>
      </c>
      <c r="F114" s="11" t="s">
        <v>4</v>
      </c>
      <c r="G114" s="11" t="s">
        <v>591</v>
      </c>
      <c r="H114" s="11" t="s">
        <v>592</v>
      </c>
      <c r="I114" s="11" t="s">
        <v>593</v>
      </c>
      <c r="J114" s="14">
        <v>47.39</v>
      </c>
    </row>
    <row r="115" spans="1:10" ht="210" x14ac:dyDescent="0.15">
      <c r="A115" s="11" t="s">
        <v>805</v>
      </c>
      <c r="B115" s="11" t="s">
        <v>806</v>
      </c>
      <c r="C115" s="11" t="s">
        <v>52</v>
      </c>
      <c r="D115" s="11" t="s">
        <v>8</v>
      </c>
      <c r="E115" s="11" t="s">
        <v>590</v>
      </c>
      <c r="F115" s="11" t="s">
        <v>4</v>
      </c>
      <c r="G115" s="11" t="s">
        <v>591</v>
      </c>
      <c r="H115" s="11" t="s">
        <v>592</v>
      </c>
      <c r="I115" s="11" t="s">
        <v>593</v>
      </c>
      <c r="J115" s="14">
        <v>52.36</v>
      </c>
    </row>
    <row r="116" spans="1:10" ht="210" x14ac:dyDescent="0.15">
      <c r="A116" s="11" t="s">
        <v>807</v>
      </c>
      <c r="B116" s="11" t="s">
        <v>808</v>
      </c>
      <c r="C116" s="11" t="s">
        <v>160</v>
      </c>
      <c r="D116" s="11" t="s">
        <v>8</v>
      </c>
      <c r="E116" s="11" t="s">
        <v>611</v>
      </c>
      <c r="F116" s="11" t="s">
        <v>4</v>
      </c>
      <c r="G116" s="11" t="s">
        <v>591</v>
      </c>
      <c r="H116" s="11" t="s">
        <v>592</v>
      </c>
      <c r="I116" s="11" t="s">
        <v>593</v>
      </c>
      <c r="J116" s="14">
        <v>0</v>
      </c>
    </row>
    <row r="117" spans="1:10" ht="210" x14ac:dyDescent="0.15">
      <c r="A117" s="11" t="s">
        <v>809</v>
      </c>
      <c r="B117" s="11" t="s">
        <v>810</v>
      </c>
      <c r="C117" s="11" t="s">
        <v>436</v>
      </c>
      <c r="D117" s="11" t="s">
        <v>8</v>
      </c>
      <c r="E117" s="11" t="s">
        <v>602</v>
      </c>
      <c r="F117" s="11" t="s">
        <v>4</v>
      </c>
      <c r="G117" s="11" t="s">
        <v>591</v>
      </c>
      <c r="H117" s="11" t="s">
        <v>592</v>
      </c>
      <c r="I117" s="11" t="s">
        <v>593</v>
      </c>
      <c r="J117" s="14">
        <v>48.36</v>
      </c>
    </row>
    <row r="118" spans="1:10" ht="210" x14ac:dyDescent="0.15">
      <c r="A118" s="11" t="s">
        <v>811</v>
      </c>
      <c r="B118" s="11" t="s">
        <v>812</v>
      </c>
      <c r="C118" s="11" t="s">
        <v>296</v>
      </c>
      <c r="D118" s="11" t="s">
        <v>8</v>
      </c>
      <c r="E118" s="11" t="s">
        <v>599</v>
      </c>
      <c r="F118" s="11" t="s">
        <v>4</v>
      </c>
      <c r="G118" s="11" t="s">
        <v>591</v>
      </c>
      <c r="H118" s="11" t="s">
        <v>592</v>
      </c>
      <c r="I118" s="11" t="s">
        <v>593</v>
      </c>
      <c r="J118" s="14">
        <v>39.86</v>
      </c>
    </row>
    <row r="119" spans="1:10" ht="210" x14ac:dyDescent="0.15">
      <c r="A119" s="11" t="s">
        <v>813</v>
      </c>
      <c r="B119" s="11" t="s">
        <v>814</v>
      </c>
      <c r="C119" s="11" t="s">
        <v>552</v>
      </c>
      <c r="D119" s="11" t="s">
        <v>8</v>
      </c>
      <c r="E119" s="11" t="s">
        <v>616</v>
      </c>
      <c r="F119" s="11" t="s">
        <v>4</v>
      </c>
      <c r="G119" s="11" t="s">
        <v>591</v>
      </c>
      <c r="H119" s="11" t="s">
        <v>592</v>
      </c>
      <c r="I119" s="11" t="s">
        <v>593</v>
      </c>
      <c r="J119" s="14">
        <v>42.69</v>
      </c>
    </row>
    <row r="120" spans="1:10" ht="210" x14ac:dyDescent="0.15">
      <c r="A120" s="11" t="s">
        <v>815</v>
      </c>
      <c r="B120" s="11" t="s">
        <v>816</v>
      </c>
      <c r="C120" s="11" t="s">
        <v>240</v>
      </c>
      <c r="D120" s="11" t="s">
        <v>8</v>
      </c>
      <c r="E120" s="11" t="s">
        <v>637</v>
      </c>
      <c r="F120" s="11" t="s">
        <v>4</v>
      </c>
      <c r="G120" s="11" t="s">
        <v>591</v>
      </c>
      <c r="H120" s="11" t="s">
        <v>592</v>
      </c>
      <c r="I120" s="11" t="s">
        <v>593</v>
      </c>
      <c r="J120" s="14">
        <v>50.44</v>
      </c>
    </row>
    <row r="121" spans="1:10" ht="210" x14ac:dyDescent="0.15">
      <c r="A121" s="11" t="s">
        <v>817</v>
      </c>
      <c r="B121" s="11" t="s">
        <v>818</v>
      </c>
      <c r="C121" s="11" t="s">
        <v>524</v>
      </c>
      <c r="D121" s="11" t="s">
        <v>8</v>
      </c>
      <c r="E121" s="11" t="s">
        <v>605</v>
      </c>
      <c r="F121" s="11" t="s">
        <v>4</v>
      </c>
      <c r="G121" s="11" t="s">
        <v>591</v>
      </c>
      <c r="H121" s="11" t="s">
        <v>592</v>
      </c>
      <c r="I121" s="11" t="s">
        <v>593</v>
      </c>
      <c r="J121" s="14">
        <v>50.44</v>
      </c>
    </row>
    <row r="122" spans="1:10" ht="210" x14ac:dyDescent="0.15">
      <c r="A122" s="11" t="s">
        <v>819</v>
      </c>
      <c r="B122" s="11" t="s">
        <v>820</v>
      </c>
      <c r="C122" s="11" t="s">
        <v>400</v>
      </c>
      <c r="D122" s="11" t="s">
        <v>8</v>
      </c>
      <c r="E122" s="11" t="s">
        <v>602</v>
      </c>
      <c r="F122" s="11" t="s">
        <v>4</v>
      </c>
      <c r="G122" s="11" t="s">
        <v>591</v>
      </c>
      <c r="H122" s="11" t="s">
        <v>592</v>
      </c>
      <c r="I122" s="11" t="s">
        <v>593</v>
      </c>
      <c r="J122" s="14">
        <v>48.36</v>
      </c>
    </row>
    <row r="123" spans="1:10" ht="210" x14ac:dyDescent="0.15">
      <c r="A123" s="11" t="s">
        <v>821</v>
      </c>
      <c r="B123" s="11" t="s">
        <v>822</v>
      </c>
      <c r="C123" s="11" t="s">
        <v>556</v>
      </c>
      <c r="D123" s="11" t="s">
        <v>8</v>
      </c>
      <c r="E123" s="11" t="s">
        <v>590</v>
      </c>
      <c r="F123" s="11" t="s">
        <v>4</v>
      </c>
      <c r="G123" s="11" t="s">
        <v>591</v>
      </c>
      <c r="H123" s="11" t="s">
        <v>592</v>
      </c>
      <c r="I123" s="11" t="s">
        <v>593</v>
      </c>
      <c r="J123" s="14">
        <v>52.36</v>
      </c>
    </row>
    <row r="124" spans="1:10" ht="210" x14ac:dyDescent="0.15">
      <c r="A124" s="11" t="s">
        <v>823</v>
      </c>
      <c r="B124" s="11" t="s">
        <v>824</v>
      </c>
      <c r="C124" s="11" t="s">
        <v>288</v>
      </c>
      <c r="D124" s="11" t="s">
        <v>8</v>
      </c>
      <c r="E124" s="11" t="s">
        <v>637</v>
      </c>
      <c r="F124" s="11" t="s">
        <v>4</v>
      </c>
      <c r="G124" s="11" t="s">
        <v>591</v>
      </c>
      <c r="H124" s="11" t="s">
        <v>592</v>
      </c>
      <c r="I124" s="11" t="s">
        <v>593</v>
      </c>
      <c r="J124" s="14">
        <v>52.36</v>
      </c>
    </row>
    <row r="125" spans="1:10" ht="210" x14ac:dyDescent="0.15">
      <c r="A125" s="11" t="s">
        <v>825</v>
      </c>
      <c r="B125" s="11" t="s">
        <v>826</v>
      </c>
      <c r="C125" s="11" t="s">
        <v>128</v>
      </c>
      <c r="D125" s="11" t="s">
        <v>8</v>
      </c>
      <c r="E125" s="11" t="s">
        <v>646</v>
      </c>
      <c r="F125" s="11" t="s">
        <v>4</v>
      </c>
      <c r="G125" s="11" t="s">
        <v>591</v>
      </c>
      <c r="H125" s="11" t="s">
        <v>592</v>
      </c>
      <c r="I125" s="11" t="s">
        <v>593</v>
      </c>
      <c r="J125" s="14">
        <v>33.96</v>
      </c>
    </row>
    <row r="126" spans="1:10" ht="210" x14ac:dyDescent="0.15">
      <c r="A126" s="11" t="s">
        <v>827</v>
      </c>
      <c r="B126" s="11" t="s">
        <v>828</v>
      </c>
      <c r="C126" s="11" t="s">
        <v>484</v>
      </c>
      <c r="D126" s="11" t="s">
        <v>8</v>
      </c>
      <c r="E126" s="11" t="s">
        <v>599</v>
      </c>
      <c r="F126" s="11" t="s">
        <v>4</v>
      </c>
      <c r="G126" s="11" t="s">
        <v>591</v>
      </c>
      <c r="H126" s="11" t="s">
        <v>592</v>
      </c>
      <c r="I126" s="11" t="s">
        <v>593</v>
      </c>
      <c r="J126" s="14">
        <v>45.44</v>
      </c>
    </row>
    <row r="127" spans="1:10" ht="210" x14ac:dyDescent="0.15">
      <c r="A127" s="11" t="s">
        <v>829</v>
      </c>
      <c r="B127" s="11" t="s">
        <v>830</v>
      </c>
      <c r="C127" s="11" t="s">
        <v>204</v>
      </c>
      <c r="D127" s="11" t="s">
        <v>8</v>
      </c>
      <c r="E127" s="11" t="s">
        <v>599</v>
      </c>
      <c r="F127" s="11" t="s">
        <v>4</v>
      </c>
      <c r="G127" s="11" t="s">
        <v>591</v>
      </c>
      <c r="H127" s="11" t="s">
        <v>592</v>
      </c>
      <c r="I127" s="11" t="s">
        <v>593</v>
      </c>
      <c r="J127" s="14">
        <v>39.86</v>
      </c>
    </row>
    <row r="128" spans="1:10" ht="210" x14ac:dyDescent="0.15">
      <c r="A128" s="11" t="s">
        <v>831</v>
      </c>
      <c r="B128" s="11" t="s">
        <v>832</v>
      </c>
      <c r="C128" s="11" t="s">
        <v>228</v>
      </c>
      <c r="D128" s="11" t="s">
        <v>8</v>
      </c>
      <c r="E128" s="11" t="s">
        <v>673</v>
      </c>
      <c r="F128" s="11" t="s">
        <v>4</v>
      </c>
      <c r="G128" s="11" t="s">
        <v>591</v>
      </c>
      <c r="H128" s="11" t="s">
        <v>592</v>
      </c>
      <c r="I128" s="11" t="s">
        <v>593</v>
      </c>
      <c r="J128" s="14">
        <v>52.36</v>
      </c>
    </row>
    <row r="129" spans="1:10" ht="210" x14ac:dyDescent="0.15">
      <c r="A129" s="11" t="s">
        <v>833</v>
      </c>
      <c r="B129" s="11" t="s">
        <v>834</v>
      </c>
      <c r="C129" s="11" t="s">
        <v>188</v>
      </c>
      <c r="D129" s="11" t="s">
        <v>8</v>
      </c>
      <c r="E129" s="11" t="s">
        <v>673</v>
      </c>
      <c r="F129" s="11" t="s">
        <v>4</v>
      </c>
      <c r="G129" s="11" t="s">
        <v>591</v>
      </c>
      <c r="H129" s="11" t="s">
        <v>592</v>
      </c>
      <c r="I129" s="11" t="s">
        <v>593</v>
      </c>
      <c r="J129" s="14">
        <v>50.44</v>
      </c>
    </row>
    <row r="130" spans="1:10" ht="210" x14ac:dyDescent="0.15">
      <c r="A130" s="11" t="s">
        <v>835</v>
      </c>
      <c r="B130" s="11" t="s">
        <v>836</v>
      </c>
      <c r="C130" s="11" t="s">
        <v>376</v>
      </c>
      <c r="D130" s="11" t="s">
        <v>8</v>
      </c>
      <c r="E130" s="11" t="s">
        <v>602</v>
      </c>
      <c r="F130" s="11" t="s">
        <v>4</v>
      </c>
      <c r="G130" s="11" t="s">
        <v>591</v>
      </c>
      <c r="H130" s="11" t="s">
        <v>592</v>
      </c>
      <c r="I130" s="11" t="s">
        <v>593</v>
      </c>
      <c r="J130" s="14">
        <v>0</v>
      </c>
    </row>
    <row r="131" spans="1:10" ht="210" x14ac:dyDescent="0.15">
      <c r="A131" s="11" t="s">
        <v>837</v>
      </c>
      <c r="B131" s="11" t="s">
        <v>838</v>
      </c>
      <c r="C131" s="11" t="s">
        <v>80</v>
      </c>
      <c r="D131" s="11" t="s">
        <v>8</v>
      </c>
      <c r="E131" s="11" t="s">
        <v>800</v>
      </c>
      <c r="F131" s="11" t="s">
        <v>4</v>
      </c>
      <c r="G131" s="11" t="s">
        <v>591</v>
      </c>
      <c r="H131" s="11" t="s">
        <v>592</v>
      </c>
      <c r="I131" s="11" t="s">
        <v>593</v>
      </c>
      <c r="J131" s="14">
        <v>41.32</v>
      </c>
    </row>
    <row r="132" spans="1:10" ht="210" x14ac:dyDescent="0.15">
      <c r="A132" s="11" t="s">
        <v>839</v>
      </c>
      <c r="B132" s="11" t="s">
        <v>840</v>
      </c>
      <c r="C132" s="11" t="s">
        <v>532</v>
      </c>
      <c r="D132" s="11" t="s">
        <v>8</v>
      </c>
      <c r="E132" s="11" t="s">
        <v>599</v>
      </c>
      <c r="F132" s="11" t="s">
        <v>4</v>
      </c>
      <c r="G132" s="11" t="s">
        <v>591</v>
      </c>
      <c r="H132" s="11" t="s">
        <v>592</v>
      </c>
      <c r="I132" s="11" t="s">
        <v>593</v>
      </c>
      <c r="J132" s="14">
        <v>42.25</v>
      </c>
    </row>
    <row r="133" spans="1:10" ht="210" x14ac:dyDescent="0.15">
      <c r="A133" s="11" t="s">
        <v>841</v>
      </c>
      <c r="B133" s="11" t="s">
        <v>842</v>
      </c>
      <c r="C133" s="11" t="s">
        <v>84</v>
      </c>
      <c r="D133" s="11" t="s">
        <v>8</v>
      </c>
      <c r="E133" s="11" t="s">
        <v>605</v>
      </c>
      <c r="F133" s="11" t="s">
        <v>4</v>
      </c>
      <c r="G133" s="11" t="s">
        <v>591</v>
      </c>
      <c r="H133" s="11" t="s">
        <v>592</v>
      </c>
      <c r="I133" s="11" t="s">
        <v>593</v>
      </c>
      <c r="J133" s="14">
        <v>52.36</v>
      </c>
    </row>
    <row r="134" spans="1:10" ht="210" x14ac:dyDescent="0.15">
      <c r="A134" s="11" t="s">
        <v>843</v>
      </c>
      <c r="B134" s="11" t="s">
        <v>844</v>
      </c>
      <c r="C134" s="11" t="s">
        <v>384</v>
      </c>
      <c r="D134" s="11" t="s">
        <v>8</v>
      </c>
      <c r="E134" s="11" t="s">
        <v>599</v>
      </c>
      <c r="F134" s="11" t="s">
        <v>4</v>
      </c>
      <c r="G134" s="11" t="s">
        <v>591</v>
      </c>
      <c r="H134" s="11" t="s">
        <v>592</v>
      </c>
      <c r="I134" s="11" t="s">
        <v>593</v>
      </c>
      <c r="J134" s="14">
        <v>39.86</v>
      </c>
    </row>
    <row r="135" spans="1:10" ht="210" x14ac:dyDescent="0.15">
      <c r="A135" s="11" t="s">
        <v>845</v>
      </c>
      <c r="B135" s="11" t="s">
        <v>846</v>
      </c>
      <c r="C135" s="11" t="s">
        <v>440</v>
      </c>
      <c r="D135" s="11" t="s">
        <v>8</v>
      </c>
      <c r="E135" s="11" t="s">
        <v>637</v>
      </c>
      <c r="F135" s="11" t="s">
        <v>4</v>
      </c>
      <c r="G135" s="11" t="s">
        <v>591</v>
      </c>
      <c r="H135" s="11" t="s">
        <v>592</v>
      </c>
      <c r="I135" s="11" t="s">
        <v>593</v>
      </c>
      <c r="J135" s="14">
        <v>50.44</v>
      </c>
    </row>
    <row r="136" spans="1:10" ht="210" x14ac:dyDescent="0.15">
      <c r="A136" s="11" t="s">
        <v>847</v>
      </c>
      <c r="B136" s="11" t="s">
        <v>848</v>
      </c>
      <c r="C136" s="11" t="s">
        <v>516</v>
      </c>
      <c r="D136" s="11" t="s">
        <v>8</v>
      </c>
      <c r="E136" s="11" t="s">
        <v>673</v>
      </c>
      <c r="F136" s="11" t="s">
        <v>4</v>
      </c>
      <c r="G136" s="11" t="s">
        <v>591</v>
      </c>
      <c r="H136" s="11" t="s">
        <v>592</v>
      </c>
      <c r="I136" s="11" t="s">
        <v>593</v>
      </c>
      <c r="J136" s="14">
        <v>52.36</v>
      </c>
    </row>
    <row r="137" spans="1:10" ht="210" x14ac:dyDescent="0.15">
      <c r="A137" s="11" t="s">
        <v>849</v>
      </c>
      <c r="B137" s="11" t="s">
        <v>850</v>
      </c>
      <c r="C137" s="11" t="s">
        <v>220</v>
      </c>
      <c r="D137" s="11" t="s">
        <v>8</v>
      </c>
      <c r="E137" s="11" t="s">
        <v>602</v>
      </c>
      <c r="F137" s="11" t="s">
        <v>4</v>
      </c>
      <c r="G137" s="11" t="s">
        <v>591</v>
      </c>
      <c r="H137" s="11" t="s">
        <v>592</v>
      </c>
      <c r="I137" s="11" t="s">
        <v>593</v>
      </c>
      <c r="J137" s="14">
        <v>36.43</v>
      </c>
    </row>
    <row r="138" spans="1:10" ht="210" x14ac:dyDescent="0.15">
      <c r="A138" s="11" t="s">
        <v>851</v>
      </c>
      <c r="B138" s="11" t="s">
        <v>852</v>
      </c>
      <c r="C138" s="11" t="s">
        <v>560</v>
      </c>
      <c r="D138" s="11" t="s">
        <v>8</v>
      </c>
      <c r="E138" s="11" t="s">
        <v>608</v>
      </c>
      <c r="F138" s="11" t="s">
        <v>4</v>
      </c>
      <c r="G138" s="11" t="s">
        <v>591</v>
      </c>
      <c r="H138" s="11" t="s">
        <v>592</v>
      </c>
      <c r="I138" s="11" t="s">
        <v>593</v>
      </c>
      <c r="J138" s="14">
        <v>34.299999999999997</v>
      </c>
    </row>
    <row r="139" spans="1:10" ht="210" x14ac:dyDescent="0.15">
      <c r="A139" s="11" t="s">
        <v>853</v>
      </c>
      <c r="B139" s="11" t="s">
        <v>854</v>
      </c>
      <c r="C139" s="11" t="s">
        <v>496</v>
      </c>
      <c r="D139" s="11" t="s">
        <v>8</v>
      </c>
      <c r="E139" s="11" t="s">
        <v>599</v>
      </c>
      <c r="F139" s="11" t="s">
        <v>4</v>
      </c>
      <c r="G139" s="11" t="s">
        <v>591</v>
      </c>
      <c r="H139" s="11" t="s">
        <v>592</v>
      </c>
      <c r="I139" s="11" t="s">
        <v>593</v>
      </c>
      <c r="J139" s="14">
        <v>42.25</v>
      </c>
    </row>
    <row r="140" spans="1:10" ht="210" x14ac:dyDescent="0.15">
      <c r="A140" s="11" t="s">
        <v>855</v>
      </c>
      <c r="B140" s="11" t="s">
        <v>856</v>
      </c>
      <c r="C140" s="11" t="s">
        <v>564</v>
      </c>
      <c r="D140" s="11" t="s">
        <v>8</v>
      </c>
      <c r="E140" s="11" t="s">
        <v>611</v>
      </c>
      <c r="F140" s="11" t="s">
        <v>4</v>
      </c>
      <c r="G140" s="11" t="s">
        <v>591</v>
      </c>
      <c r="H140" s="11" t="s">
        <v>592</v>
      </c>
      <c r="I140" s="11" t="s">
        <v>593</v>
      </c>
      <c r="J140" s="14">
        <v>50.44</v>
      </c>
    </row>
    <row r="141" spans="1:10" ht="210" x14ac:dyDescent="0.15">
      <c r="A141" s="11" t="s">
        <v>857</v>
      </c>
      <c r="B141" s="11" t="s">
        <v>858</v>
      </c>
      <c r="C141" s="11" t="s">
        <v>444</v>
      </c>
      <c r="D141" s="11" t="s">
        <v>8</v>
      </c>
      <c r="E141" s="11" t="s">
        <v>608</v>
      </c>
      <c r="F141" s="11" t="s">
        <v>4</v>
      </c>
      <c r="G141" s="11" t="s">
        <v>591</v>
      </c>
      <c r="H141" s="11" t="s">
        <v>592</v>
      </c>
      <c r="I141" s="11" t="s">
        <v>593</v>
      </c>
      <c r="J141" s="14">
        <v>34.299999999999997</v>
      </c>
    </row>
    <row r="142" spans="1:10" ht="210" x14ac:dyDescent="0.15">
      <c r="A142" s="11" t="s">
        <v>859</v>
      </c>
      <c r="B142" s="11" t="s">
        <v>860</v>
      </c>
      <c r="C142" s="11" t="s">
        <v>452</v>
      </c>
      <c r="D142" s="11" t="s">
        <v>8</v>
      </c>
      <c r="E142" s="11" t="s">
        <v>673</v>
      </c>
      <c r="F142" s="11" t="s">
        <v>4</v>
      </c>
      <c r="G142" s="11" t="s">
        <v>591</v>
      </c>
      <c r="H142" s="11" t="s">
        <v>592</v>
      </c>
      <c r="I142" s="11" t="s">
        <v>593</v>
      </c>
      <c r="J142" s="14">
        <v>0</v>
      </c>
    </row>
    <row r="143" spans="1:10" ht="210" x14ac:dyDescent="0.15">
      <c r="A143" s="11" t="s">
        <v>861</v>
      </c>
      <c r="B143" s="11" t="s">
        <v>862</v>
      </c>
      <c r="C143" s="11" t="s">
        <v>424</v>
      </c>
      <c r="D143" s="11" t="s">
        <v>8</v>
      </c>
      <c r="E143" s="11" t="s">
        <v>608</v>
      </c>
      <c r="F143" s="11" t="s">
        <v>4</v>
      </c>
      <c r="G143" s="11" t="s">
        <v>591</v>
      </c>
      <c r="H143" s="11" t="s">
        <v>592</v>
      </c>
      <c r="I143" s="11" t="s">
        <v>593</v>
      </c>
      <c r="J143" s="14">
        <v>34.299999999999997</v>
      </c>
    </row>
    <row r="144" spans="1:10" ht="210" x14ac:dyDescent="0.15">
      <c r="A144" s="11" t="s">
        <v>863</v>
      </c>
      <c r="B144" s="11" t="s">
        <v>864</v>
      </c>
      <c r="C144" s="11" t="s">
        <v>568</v>
      </c>
      <c r="D144" s="11" t="s">
        <v>8</v>
      </c>
      <c r="E144" s="11" t="s">
        <v>749</v>
      </c>
      <c r="F144" s="11" t="s">
        <v>4</v>
      </c>
      <c r="G144" s="11" t="s">
        <v>591</v>
      </c>
      <c r="H144" s="11" t="s">
        <v>592</v>
      </c>
      <c r="I144" s="11" t="s">
        <v>593</v>
      </c>
      <c r="J144" s="14">
        <v>36.43</v>
      </c>
    </row>
    <row r="145" spans="1:10" ht="210" x14ac:dyDescent="0.15">
      <c r="A145" s="11" t="s">
        <v>865</v>
      </c>
      <c r="B145" s="11" t="s">
        <v>866</v>
      </c>
      <c r="C145" s="11" t="s">
        <v>292</v>
      </c>
      <c r="D145" s="11" t="s">
        <v>8</v>
      </c>
      <c r="E145" s="11" t="s">
        <v>608</v>
      </c>
      <c r="F145" s="11" t="s">
        <v>4</v>
      </c>
      <c r="G145" s="11" t="s">
        <v>591</v>
      </c>
      <c r="H145" s="11" t="s">
        <v>592</v>
      </c>
      <c r="I145" s="11" t="s">
        <v>593</v>
      </c>
      <c r="J145" s="14">
        <v>50.44</v>
      </c>
    </row>
    <row r="146" spans="1:10" x14ac:dyDescent="0.15">
      <c r="A146" s="11"/>
      <c r="B146" s="11"/>
      <c r="C146" s="11"/>
      <c r="D146" s="11"/>
      <c r="E146" s="11"/>
      <c r="F146" s="11"/>
      <c r="G146" s="11"/>
      <c r="H146" s="11"/>
      <c r="I146" s="11"/>
      <c r="J146" s="14">
        <v>5871.52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0218-A3B5-4B8A-87C6-581C5C4A2161}">
  <dimension ref="A1:J109"/>
  <sheetViews>
    <sheetView topLeftCell="D16" workbookViewId="0">
      <selection activeCell="Q11" sqref="Q11"/>
    </sheetView>
  </sheetViews>
  <sheetFormatPr baseColWidth="10" defaultColWidth="9.1640625" defaultRowHeight="13" x14ac:dyDescent="0.15"/>
  <cols>
    <col min="1" max="10" width="23" style="9" customWidth="1"/>
    <col min="11" max="16384" width="9.1640625" style="9"/>
  </cols>
  <sheetData>
    <row r="1" spans="1:10" x14ac:dyDescent="0.15">
      <c r="A1" s="8" t="s">
        <v>575</v>
      </c>
      <c r="B1" s="8"/>
      <c r="C1" s="8"/>
      <c r="D1" s="8"/>
      <c r="E1" s="8"/>
      <c r="F1" s="8"/>
      <c r="G1" s="8"/>
      <c r="H1" s="8"/>
      <c r="I1" s="8"/>
      <c r="J1" s="8"/>
    </row>
    <row r="2" spans="1:10" ht="28" x14ac:dyDescent="0.15">
      <c r="A2" s="10" t="s">
        <v>576</v>
      </c>
      <c r="B2" s="11" t="s">
        <v>4</v>
      </c>
    </row>
    <row r="3" spans="1:10" ht="28" x14ac:dyDescent="0.15">
      <c r="A3" s="10" t="s">
        <v>577</v>
      </c>
      <c r="B3" s="11" t="s">
        <v>578</v>
      </c>
    </row>
    <row r="4" spans="1:10" ht="14" x14ac:dyDescent="0.15">
      <c r="A4" s="10" t="s">
        <v>579</v>
      </c>
      <c r="B4" s="11" t="s">
        <v>594</v>
      </c>
    </row>
    <row r="5" spans="1:10" x14ac:dyDescent="0.15">
      <c r="A5" s="10" t="s">
        <v>580</v>
      </c>
      <c r="B5" s="11"/>
    </row>
    <row r="6" spans="1:10" x14ac:dyDescent="0.15">
      <c r="A6" s="10" t="s">
        <v>7</v>
      </c>
      <c r="B6" s="11"/>
    </row>
    <row r="7" spans="1:10" x14ac:dyDescent="0.15">
      <c r="A7" s="10" t="s">
        <v>9</v>
      </c>
      <c r="B7" s="12" t="s">
        <v>10</v>
      </c>
    </row>
    <row r="8" spans="1:10" x14ac:dyDescent="0.15">
      <c r="A8" s="10" t="s">
        <v>581</v>
      </c>
      <c r="B8" s="11"/>
    </row>
    <row r="9" spans="1:10" ht="14" x14ac:dyDescent="0.15">
      <c r="A9" s="13" t="s">
        <v>582</v>
      </c>
      <c r="B9" s="13" t="s">
        <v>12</v>
      </c>
      <c r="C9" s="13" t="s">
        <v>14</v>
      </c>
      <c r="D9" s="13" t="s">
        <v>583</v>
      </c>
      <c r="E9" s="13" t="s">
        <v>7</v>
      </c>
      <c r="F9" s="13" t="s">
        <v>3</v>
      </c>
      <c r="G9" s="13" t="s">
        <v>584</v>
      </c>
      <c r="H9" s="13" t="s">
        <v>585</v>
      </c>
      <c r="I9" s="13" t="s">
        <v>586</v>
      </c>
      <c r="J9" s="13" t="s">
        <v>587</v>
      </c>
    </row>
    <row r="10" spans="1:10" ht="252" x14ac:dyDescent="0.15">
      <c r="A10" s="11" t="s">
        <v>588</v>
      </c>
      <c r="B10" s="11" t="s">
        <v>589</v>
      </c>
      <c r="C10" s="11" t="s">
        <v>244</v>
      </c>
      <c r="D10" s="11" t="s">
        <v>8</v>
      </c>
      <c r="E10" s="11" t="s">
        <v>590</v>
      </c>
      <c r="F10" s="11" t="s">
        <v>4</v>
      </c>
      <c r="G10" s="11" t="s">
        <v>594</v>
      </c>
      <c r="H10" s="11" t="s">
        <v>595</v>
      </c>
      <c r="I10" s="11" t="s">
        <v>596</v>
      </c>
      <c r="J10" s="14">
        <v>14.7</v>
      </c>
    </row>
    <row r="11" spans="1:10" ht="252" x14ac:dyDescent="0.15">
      <c r="A11" s="11" t="s">
        <v>600</v>
      </c>
      <c r="B11" s="11" t="s">
        <v>601</v>
      </c>
      <c r="C11" s="11" t="s">
        <v>260</v>
      </c>
      <c r="D11" s="11" t="s">
        <v>8</v>
      </c>
      <c r="E11" s="11" t="s">
        <v>602</v>
      </c>
      <c r="F11" s="11" t="s">
        <v>4</v>
      </c>
      <c r="G11" s="11" t="s">
        <v>594</v>
      </c>
      <c r="H11" s="11" t="s">
        <v>595</v>
      </c>
      <c r="I11" s="11" t="s">
        <v>596</v>
      </c>
      <c r="J11" s="14">
        <v>36.11</v>
      </c>
    </row>
    <row r="12" spans="1:10" ht="252" x14ac:dyDescent="0.15">
      <c r="A12" s="11" t="s">
        <v>603</v>
      </c>
      <c r="B12" s="11" t="s">
        <v>604</v>
      </c>
      <c r="C12" s="11" t="s">
        <v>264</v>
      </c>
      <c r="D12" s="11" t="s">
        <v>8</v>
      </c>
      <c r="E12" s="11" t="s">
        <v>605</v>
      </c>
      <c r="F12" s="11" t="s">
        <v>4</v>
      </c>
      <c r="G12" s="11" t="s">
        <v>594</v>
      </c>
      <c r="H12" s="11" t="s">
        <v>595</v>
      </c>
      <c r="I12" s="11" t="s">
        <v>596</v>
      </c>
      <c r="J12" s="14">
        <v>0</v>
      </c>
    </row>
    <row r="13" spans="1:10" ht="252" x14ac:dyDescent="0.15">
      <c r="A13" s="11" t="s">
        <v>606</v>
      </c>
      <c r="B13" s="11" t="s">
        <v>607</v>
      </c>
      <c r="C13" s="11" t="s">
        <v>140</v>
      </c>
      <c r="D13" s="11" t="s">
        <v>8</v>
      </c>
      <c r="E13" s="11" t="s">
        <v>608</v>
      </c>
      <c r="F13" s="11" t="s">
        <v>4</v>
      </c>
      <c r="G13" s="11" t="s">
        <v>594</v>
      </c>
      <c r="H13" s="11" t="s">
        <v>595</v>
      </c>
      <c r="I13" s="11" t="s">
        <v>596</v>
      </c>
      <c r="J13" s="14">
        <v>27.69</v>
      </c>
    </row>
    <row r="14" spans="1:10" ht="252" x14ac:dyDescent="0.15">
      <c r="A14" s="11" t="s">
        <v>612</v>
      </c>
      <c r="B14" s="11" t="s">
        <v>613</v>
      </c>
      <c r="C14" s="11" t="s">
        <v>320</v>
      </c>
      <c r="D14" s="11" t="s">
        <v>8</v>
      </c>
      <c r="E14" s="11" t="s">
        <v>608</v>
      </c>
      <c r="F14" s="11" t="s">
        <v>4</v>
      </c>
      <c r="G14" s="11" t="s">
        <v>594</v>
      </c>
      <c r="H14" s="11" t="s">
        <v>595</v>
      </c>
      <c r="I14" s="11" t="s">
        <v>596</v>
      </c>
      <c r="J14" s="14">
        <v>75.319999999999993</v>
      </c>
    </row>
    <row r="15" spans="1:10" ht="252" x14ac:dyDescent="0.15">
      <c r="A15" s="11" t="s">
        <v>614</v>
      </c>
      <c r="B15" s="11" t="s">
        <v>615</v>
      </c>
      <c r="C15" s="11" t="s">
        <v>316</v>
      </c>
      <c r="D15" s="11" t="s">
        <v>8</v>
      </c>
      <c r="E15" s="11" t="s">
        <v>616</v>
      </c>
      <c r="F15" s="11" t="s">
        <v>4</v>
      </c>
      <c r="G15" s="11" t="s">
        <v>594</v>
      </c>
      <c r="H15" s="11" t="s">
        <v>595</v>
      </c>
      <c r="I15" s="11" t="s">
        <v>596</v>
      </c>
      <c r="J15" s="14">
        <v>27.69</v>
      </c>
    </row>
    <row r="16" spans="1:10" ht="252" x14ac:dyDescent="0.15">
      <c r="A16" s="11" t="s">
        <v>619</v>
      </c>
      <c r="B16" s="11" t="s">
        <v>620</v>
      </c>
      <c r="C16" s="11" t="s">
        <v>500</v>
      </c>
      <c r="D16" s="11" t="s">
        <v>8</v>
      </c>
      <c r="E16" s="11" t="s">
        <v>602</v>
      </c>
      <c r="F16" s="11" t="s">
        <v>4</v>
      </c>
      <c r="G16" s="11" t="s">
        <v>594</v>
      </c>
      <c r="H16" s="11" t="s">
        <v>595</v>
      </c>
      <c r="I16" s="11" t="s">
        <v>596</v>
      </c>
      <c r="J16" s="14">
        <v>75.319999999999993</v>
      </c>
    </row>
    <row r="17" spans="1:10" ht="252" x14ac:dyDescent="0.15">
      <c r="A17" s="11" t="s">
        <v>621</v>
      </c>
      <c r="B17" s="11" t="s">
        <v>622</v>
      </c>
      <c r="C17" s="11" t="s">
        <v>92</v>
      </c>
      <c r="D17" s="11" t="s">
        <v>8</v>
      </c>
      <c r="E17" s="11" t="s">
        <v>608</v>
      </c>
      <c r="F17" s="11" t="s">
        <v>4</v>
      </c>
      <c r="G17" s="11" t="s">
        <v>594</v>
      </c>
      <c r="H17" s="11" t="s">
        <v>595</v>
      </c>
      <c r="I17" s="11" t="s">
        <v>596</v>
      </c>
      <c r="J17" s="14">
        <v>36.11</v>
      </c>
    </row>
    <row r="18" spans="1:10" ht="252" x14ac:dyDescent="0.15">
      <c r="A18" s="11" t="s">
        <v>623</v>
      </c>
      <c r="B18" s="11" t="s">
        <v>624</v>
      </c>
      <c r="C18" s="11" t="s">
        <v>216</v>
      </c>
      <c r="D18" s="11" t="s">
        <v>8</v>
      </c>
      <c r="E18" s="11" t="s">
        <v>608</v>
      </c>
      <c r="F18" s="11" t="s">
        <v>4</v>
      </c>
      <c r="G18" s="11" t="s">
        <v>594</v>
      </c>
      <c r="H18" s="11" t="s">
        <v>595</v>
      </c>
      <c r="I18" s="11" t="s">
        <v>596</v>
      </c>
      <c r="J18" s="14">
        <v>14.7</v>
      </c>
    </row>
    <row r="19" spans="1:10" ht="252" x14ac:dyDescent="0.15">
      <c r="A19" s="11" t="s">
        <v>625</v>
      </c>
      <c r="B19" s="11" t="s">
        <v>626</v>
      </c>
      <c r="C19" s="11" t="s">
        <v>96</v>
      </c>
      <c r="D19" s="11" t="s">
        <v>8</v>
      </c>
      <c r="E19" s="11" t="s">
        <v>602</v>
      </c>
      <c r="F19" s="11" t="s">
        <v>4</v>
      </c>
      <c r="G19" s="11" t="s">
        <v>594</v>
      </c>
      <c r="H19" s="11" t="s">
        <v>595</v>
      </c>
      <c r="I19" s="11" t="s">
        <v>596</v>
      </c>
      <c r="J19" s="14">
        <v>0</v>
      </c>
    </row>
    <row r="20" spans="1:10" ht="252" x14ac:dyDescent="0.15">
      <c r="A20" s="11" t="s">
        <v>629</v>
      </c>
      <c r="B20" s="11" t="s">
        <v>630</v>
      </c>
      <c r="C20" s="11" t="s">
        <v>536</v>
      </c>
      <c r="D20" s="11" t="s">
        <v>8</v>
      </c>
      <c r="E20" s="11" t="s">
        <v>611</v>
      </c>
      <c r="F20" s="11" t="s">
        <v>4</v>
      </c>
      <c r="G20" s="11" t="s">
        <v>594</v>
      </c>
      <c r="H20" s="11" t="s">
        <v>595</v>
      </c>
      <c r="I20" s="11" t="s">
        <v>596</v>
      </c>
      <c r="J20" s="14">
        <v>0</v>
      </c>
    </row>
    <row r="21" spans="1:10" ht="252" x14ac:dyDescent="0.15">
      <c r="A21" s="11" t="s">
        <v>633</v>
      </c>
      <c r="B21" s="11" t="s">
        <v>634</v>
      </c>
      <c r="C21" s="11" t="s">
        <v>404</v>
      </c>
      <c r="D21" s="11" t="s">
        <v>8</v>
      </c>
      <c r="E21" s="11" t="s">
        <v>590</v>
      </c>
      <c r="F21" s="11" t="s">
        <v>4</v>
      </c>
      <c r="G21" s="11" t="s">
        <v>594</v>
      </c>
      <c r="H21" s="11" t="s">
        <v>595</v>
      </c>
      <c r="I21" s="11" t="s">
        <v>596</v>
      </c>
      <c r="J21" s="14">
        <v>75.319999999999993</v>
      </c>
    </row>
    <row r="22" spans="1:10" ht="252" x14ac:dyDescent="0.15">
      <c r="A22" s="11" t="s">
        <v>635</v>
      </c>
      <c r="B22" s="11" t="s">
        <v>636</v>
      </c>
      <c r="C22" s="11" t="s">
        <v>540</v>
      </c>
      <c r="D22" s="11" t="s">
        <v>8</v>
      </c>
      <c r="E22" s="11" t="s">
        <v>637</v>
      </c>
      <c r="F22" s="11" t="s">
        <v>4</v>
      </c>
      <c r="G22" s="11" t="s">
        <v>594</v>
      </c>
      <c r="H22" s="11" t="s">
        <v>595</v>
      </c>
      <c r="I22" s="11" t="s">
        <v>596</v>
      </c>
      <c r="J22" s="14">
        <v>75.319999999999993</v>
      </c>
    </row>
    <row r="23" spans="1:10" ht="252" x14ac:dyDescent="0.15">
      <c r="A23" s="11" t="s">
        <v>638</v>
      </c>
      <c r="B23" s="11" t="s">
        <v>639</v>
      </c>
      <c r="C23" s="11" t="s">
        <v>300</v>
      </c>
      <c r="D23" s="11" t="s">
        <v>8</v>
      </c>
      <c r="E23" s="11" t="s">
        <v>608</v>
      </c>
      <c r="F23" s="11" t="s">
        <v>4</v>
      </c>
      <c r="G23" s="11" t="s">
        <v>594</v>
      </c>
      <c r="H23" s="11" t="s">
        <v>595</v>
      </c>
      <c r="I23" s="11" t="s">
        <v>596</v>
      </c>
      <c r="J23" s="14">
        <v>27.69</v>
      </c>
    </row>
    <row r="24" spans="1:10" ht="252" x14ac:dyDescent="0.15">
      <c r="A24" s="11" t="s">
        <v>640</v>
      </c>
      <c r="B24" s="11" t="s">
        <v>641</v>
      </c>
      <c r="C24" s="11" t="s">
        <v>468</v>
      </c>
      <c r="D24" s="11" t="s">
        <v>8</v>
      </c>
      <c r="E24" s="11" t="s">
        <v>616</v>
      </c>
      <c r="F24" s="11" t="s">
        <v>4</v>
      </c>
      <c r="G24" s="11" t="s">
        <v>594</v>
      </c>
      <c r="H24" s="11" t="s">
        <v>595</v>
      </c>
      <c r="I24" s="11" t="s">
        <v>596</v>
      </c>
      <c r="J24" s="14">
        <v>0</v>
      </c>
    </row>
    <row r="25" spans="1:10" ht="252" x14ac:dyDescent="0.15">
      <c r="A25" s="11" t="s">
        <v>642</v>
      </c>
      <c r="B25" s="11" t="s">
        <v>643</v>
      </c>
      <c r="C25" s="11" t="s">
        <v>544</v>
      </c>
      <c r="D25" s="11" t="s">
        <v>8</v>
      </c>
      <c r="E25" s="11" t="s">
        <v>637</v>
      </c>
      <c r="F25" s="11" t="s">
        <v>4</v>
      </c>
      <c r="G25" s="11" t="s">
        <v>594</v>
      </c>
      <c r="H25" s="11" t="s">
        <v>595</v>
      </c>
      <c r="I25" s="11" t="s">
        <v>596</v>
      </c>
      <c r="J25" s="14">
        <v>36.11</v>
      </c>
    </row>
    <row r="26" spans="1:10" ht="252" x14ac:dyDescent="0.15">
      <c r="A26" s="11" t="s">
        <v>649</v>
      </c>
      <c r="B26" s="11" t="s">
        <v>650</v>
      </c>
      <c r="C26" s="11" t="s">
        <v>408</v>
      </c>
      <c r="D26" s="11" t="s">
        <v>8</v>
      </c>
      <c r="E26" s="11" t="s">
        <v>608</v>
      </c>
      <c r="F26" s="11" t="s">
        <v>4</v>
      </c>
      <c r="G26" s="11" t="s">
        <v>594</v>
      </c>
      <c r="H26" s="11" t="s">
        <v>595</v>
      </c>
      <c r="I26" s="11" t="s">
        <v>596</v>
      </c>
      <c r="J26" s="14">
        <v>36.11</v>
      </c>
    </row>
    <row r="27" spans="1:10" ht="252" x14ac:dyDescent="0.15">
      <c r="A27" s="11" t="s">
        <v>651</v>
      </c>
      <c r="B27" s="11" t="s">
        <v>652</v>
      </c>
      <c r="C27" s="11" t="s">
        <v>548</v>
      </c>
      <c r="D27" s="11" t="s">
        <v>8</v>
      </c>
      <c r="E27" s="11" t="s">
        <v>608</v>
      </c>
      <c r="F27" s="11" t="s">
        <v>4</v>
      </c>
      <c r="G27" s="11" t="s">
        <v>594</v>
      </c>
      <c r="H27" s="11" t="s">
        <v>595</v>
      </c>
      <c r="I27" s="11" t="s">
        <v>596</v>
      </c>
      <c r="J27" s="14">
        <v>0</v>
      </c>
    </row>
    <row r="28" spans="1:10" ht="252" x14ac:dyDescent="0.15">
      <c r="A28" s="11" t="s">
        <v>653</v>
      </c>
      <c r="B28" s="11" t="s">
        <v>654</v>
      </c>
      <c r="C28" s="11" t="s">
        <v>412</v>
      </c>
      <c r="D28" s="11" t="s">
        <v>8</v>
      </c>
      <c r="E28" s="11" t="s">
        <v>605</v>
      </c>
      <c r="F28" s="11" t="s">
        <v>4</v>
      </c>
      <c r="G28" s="11" t="s">
        <v>594</v>
      </c>
      <c r="H28" s="11" t="s">
        <v>595</v>
      </c>
      <c r="I28" s="11" t="s">
        <v>596</v>
      </c>
      <c r="J28" s="14">
        <v>14.7</v>
      </c>
    </row>
    <row r="29" spans="1:10" ht="252" x14ac:dyDescent="0.15">
      <c r="A29" s="11" t="s">
        <v>655</v>
      </c>
      <c r="B29" s="11" t="s">
        <v>656</v>
      </c>
      <c r="C29" s="11" t="s">
        <v>464</v>
      </c>
      <c r="D29" s="11" t="s">
        <v>8</v>
      </c>
      <c r="E29" s="11" t="s">
        <v>599</v>
      </c>
      <c r="F29" s="11" t="s">
        <v>4</v>
      </c>
      <c r="G29" s="11" t="s">
        <v>594</v>
      </c>
      <c r="H29" s="11" t="s">
        <v>595</v>
      </c>
      <c r="I29" s="11" t="s">
        <v>596</v>
      </c>
      <c r="J29" s="14">
        <v>27.69</v>
      </c>
    </row>
    <row r="30" spans="1:10" ht="252" x14ac:dyDescent="0.15">
      <c r="A30" s="11" t="s">
        <v>657</v>
      </c>
      <c r="B30" s="11" t="s">
        <v>658</v>
      </c>
      <c r="C30" s="11" t="s">
        <v>504</v>
      </c>
      <c r="D30" s="11" t="s">
        <v>8</v>
      </c>
      <c r="E30" s="11" t="s">
        <v>608</v>
      </c>
      <c r="F30" s="11" t="s">
        <v>4</v>
      </c>
      <c r="G30" s="11" t="s">
        <v>594</v>
      </c>
      <c r="H30" s="11" t="s">
        <v>595</v>
      </c>
      <c r="I30" s="11" t="s">
        <v>596</v>
      </c>
      <c r="J30" s="14">
        <v>27.69</v>
      </c>
    </row>
    <row r="31" spans="1:10" ht="252" x14ac:dyDescent="0.15">
      <c r="A31" s="11" t="s">
        <v>659</v>
      </c>
      <c r="B31" s="11" t="s">
        <v>660</v>
      </c>
      <c r="C31" s="11" t="s">
        <v>324</v>
      </c>
      <c r="D31" s="11" t="s">
        <v>8</v>
      </c>
      <c r="E31" s="11" t="s">
        <v>590</v>
      </c>
      <c r="F31" s="11" t="s">
        <v>4</v>
      </c>
      <c r="G31" s="11" t="s">
        <v>594</v>
      </c>
      <c r="H31" s="11" t="s">
        <v>595</v>
      </c>
      <c r="I31" s="11" t="s">
        <v>596</v>
      </c>
      <c r="J31" s="14">
        <v>27.69</v>
      </c>
    </row>
    <row r="32" spans="1:10" ht="252" x14ac:dyDescent="0.15">
      <c r="A32" s="11" t="s">
        <v>661</v>
      </c>
      <c r="B32" s="11" t="s">
        <v>662</v>
      </c>
      <c r="C32" s="11" t="s">
        <v>44</v>
      </c>
      <c r="D32" s="11" t="s">
        <v>8</v>
      </c>
      <c r="E32" s="11" t="s">
        <v>602</v>
      </c>
      <c r="F32" s="11" t="s">
        <v>4</v>
      </c>
      <c r="G32" s="11" t="s">
        <v>594</v>
      </c>
      <c r="H32" s="11" t="s">
        <v>595</v>
      </c>
      <c r="I32" s="11" t="s">
        <v>596</v>
      </c>
      <c r="J32" s="14">
        <v>75.319999999999993</v>
      </c>
    </row>
    <row r="33" spans="1:10" ht="252" x14ac:dyDescent="0.15">
      <c r="A33" s="11" t="s">
        <v>663</v>
      </c>
      <c r="B33" s="11" t="s">
        <v>664</v>
      </c>
      <c r="C33" s="11" t="s">
        <v>328</v>
      </c>
      <c r="D33" s="11" t="s">
        <v>8</v>
      </c>
      <c r="E33" s="11" t="s">
        <v>599</v>
      </c>
      <c r="F33" s="11" t="s">
        <v>4</v>
      </c>
      <c r="G33" s="11" t="s">
        <v>594</v>
      </c>
      <c r="H33" s="11" t="s">
        <v>595</v>
      </c>
      <c r="I33" s="11" t="s">
        <v>596</v>
      </c>
      <c r="J33" s="14">
        <v>27.69</v>
      </c>
    </row>
    <row r="34" spans="1:10" ht="252" x14ac:dyDescent="0.15">
      <c r="A34" s="11" t="s">
        <v>665</v>
      </c>
      <c r="B34" s="11" t="s">
        <v>666</v>
      </c>
      <c r="C34" s="11" t="s">
        <v>156</v>
      </c>
      <c r="D34" s="11" t="s">
        <v>8</v>
      </c>
      <c r="E34" s="11" t="s">
        <v>602</v>
      </c>
      <c r="F34" s="11" t="s">
        <v>4</v>
      </c>
      <c r="G34" s="11" t="s">
        <v>594</v>
      </c>
      <c r="H34" s="11" t="s">
        <v>595</v>
      </c>
      <c r="I34" s="11" t="s">
        <v>596</v>
      </c>
      <c r="J34" s="14">
        <v>63.8</v>
      </c>
    </row>
    <row r="35" spans="1:10" ht="252" x14ac:dyDescent="0.15">
      <c r="A35" s="11" t="s">
        <v>667</v>
      </c>
      <c r="B35" s="11" t="s">
        <v>668</v>
      </c>
      <c r="C35" s="11" t="s">
        <v>448</v>
      </c>
      <c r="D35" s="11" t="s">
        <v>8</v>
      </c>
      <c r="E35" s="11" t="s">
        <v>602</v>
      </c>
      <c r="F35" s="11" t="s">
        <v>4</v>
      </c>
      <c r="G35" s="11" t="s">
        <v>594</v>
      </c>
      <c r="H35" s="11" t="s">
        <v>595</v>
      </c>
      <c r="I35" s="11" t="s">
        <v>596</v>
      </c>
      <c r="J35" s="14">
        <v>75.319999999999993</v>
      </c>
    </row>
    <row r="36" spans="1:10" ht="252" x14ac:dyDescent="0.15">
      <c r="A36" s="11" t="s">
        <v>669</v>
      </c>
      <c r="B36" s="11" t="s">
        <v>670</v>
      </c>
      <c r="C36" s="11" t="s">
        <v>332</v>
      </c>
      <c r="D36" s="11" t="s">
        <v>8</v>
      </c>
      <c r="E36" s="11" t="s">
        <v>590</v>
      </c>
      <c r="F36" s="11" t="s">
        <v>4</v>
      </c>
      <c r="G36" s="11" t="s">
        <v>594</v>
      </c>
      <c r="H36" s="11" t="s">
        <v>595</v>
      </c>
      <c r="I36" s="11" t="s">
        <v>596</v>
      </c>
      <c r="J36" s="14">
        <v>36.11</v>
      </c>
    </row>
    <row r="37" spans="1:10" ht="252" x14ac:dyDescent="0.15">
      <c r="A37" s="11" t="s">
        <v>671</v>
      </c>
      <c r="B37" s="11" t="s">
        <v>672</v>
      </c>
      <c r="C37" s="11" t="s">
        <v>56</v>
      </c>
      <c r="D37" s="11" t="s">
        <v>8</v>
      </c>
      <c r="E37" s="11" t="s">
        <v>673</v>
      </c>
      <c r="F37" s="11" t="s">
        <v>4</v>
      </c>
      <c r="G37" s="11" t="s">
        <v>594</v>
      </c>
      <c r="H37" s="11" t="s">
        <v>595</v>
      </c>
      <c r="I37" s="11" t="s">
        <v>596</v>
      </c>
      <c r="J37" s="14">
        <v>0</v>
      </c>
    </row>
    <row r="38" spans="1:10" ht="252" x14ac:dyDescent="0.15">
      <c r="A38" s="11" t="s">
        <v>676</v>
      </c>
      <c r="B38" s="11" t="s">
        <v>677</v>
      </c>
      <c r="C38" s="11" t="s">
        <v>520</v>
      </c>
      <c r="D38" s="11" t="s">
        <v>8</v>
      </c>
      <c r="E38" s="11" t="s">
        <v>608</v>
      </c>
      <c r="F38" s="11" t="s">
        <v>4</v>
      </c>
      <c r="G38" s="11" t="s">
        <v>594</v>
      </c>
      <c r="H38" s="11" t="s">
        <v>595</v>
      </c>
      <c r="I38" s="11" t="s">
        <v>596</v>
      </c>
      <c r="J38" s="14">
        <v>83.96</v>
      </c>
    </row>
    <row r="39" spans="1:10" ht="252" x14ac:dyDescent="0.15">
      <c r="A39" s="11" t="s">
        <v>678</v>
      </c>
      <c r="B39" s="11" t="s">
        <v>679</v>
      </c>
      <c r="C39" s="11" t="s">
        <v>208</v>
      </c>
      <c r="D39" s="11" t="s">
        <v>8</v>
      </c>
      <c r="E39" s="11" t="s">
        <v>616</v>
      </c>
      <c r="F39" s="11" t="s">
        <v>4</v>
      </c>
      <c r="G39" s="11" t="s">
        <v>594</v>
      </c>
      <c r="H39" s="11" t="s">
        <v>595</v>
      </c>
      <c r="I39" s="11" t="s">
        <v>596</v>
      </c>
      <c r="J39" s="14">
        <v>14.7</v>
      </c>
    </row>
    <row r="40" spans="1:10" ht="252" x14ac:dyDescent="0.15">
      <c r="A40" s="11" t="s">
        <v>680</v>
      </c>
      <c r="B40" s="11" t="s">
        <v>681</v>
      </c>
      <c r="C40" s="11" t="s">
        <v>336</v>
      </c>
      <c r="D40" s="11" t="s">
        <v>8</v>
      </c>
      <c r="E40" s="11" t="s">
        <v>602</v>
      </c>
      <c r="F40" s="11" t="s">
        <v>4</v>
      </c>
      <c r="G40" s="11" t="s">
        <v>594</v>
      </c>
      <c r="H40" s="11" t="s">
        <v>595</v>
      </c>
      <c r="I40" s="11" t="s">
        <v>596</v>
      </c>
      <c r="J40" s="14">
        <v>0</v>
      </c>
    </row>
    <row r="41" spans="1:10" ht="252" x14ac:dyDescent="0.15">
      <c r="A41" s="11" t="s">
        <v>682</v>
      </c>
      <c r="B41" s="11" t="s">
        <v>683</v>
      </c>
      <c r="C41" s="11" t="s">
        <v>132</v>
      </c>
      <c r="D41" s="11" t="s">
        <v>8</v>
      </c>
      <c r="E41" s="11" t="s">
        <v>611</v>
      </c>
      <c r="F41" s="11" t="s">
        <v>4</v>
      </c>
      <c r="G41" s="11" t="s">
        <v>594</v>
      </c>
      <c r="H41" s="11" t="s">
        <v>595</v>
      </c>
      <c r="I41" s="11" t="s">
        <v>596</v>
      </c>
      <c r="J41" s="14">
        <v>0</v>
      </c>
    </row>
    <row r="42" spans="1:10" ht="252" x14ac:dyDescent="0.15">
      <c r="A42" s="11" t="s">
        <v>688</v>
      </c>
      <c r="B42" s="11" t="s">
        <v>689</v>
      </c>
      <c r="C42" s="11" t="s">
        <v>388</v>
      </c>
      <c r="D42" s="11" t="s">
        <v>8</v>
      </c>
      <c r="E42" s="11" t="s">
        <v>608</v>
      </c>
      <c r="F42" s="11" t="s">
        <v>4</v>
      </c>
      <c r="G42" s="11" t="s">
        <v>594</v>
      </c>
      <c r="H42" s="11" t="s">
        <v>595</v>
      </c>
      <c r="I42" s="11" t="s">
        <v>596</v>
      </c>
      <c r="J42" s="14">
        <v>75.319999999999993</v>
      </c>
    </row>
    <row r="43" spans="1:10" ht="252" x14ac:dyDescent="0.15">
      <c r="A43" s="11" t="s">
        <v>690</v>
      </c>
      <c r="B43" s="11" t="s">
        <v>691</v>
      </c>
      <c r="C43" s="11" t="s">
        <v>272</v>
      </c>
      <c r="D43" s="11" t="s">
        <v>8</v>
      </c>
      <c r="E43" s="11" t="s">
        <v>616</v>
      </c>
      <c r="F43" s="11" t="s">
        <v>4</v>
      </c>
      <c r="G43" s="11" t="s">
        <v>594</v>
      </c>
      <c r="H43" s="11" t="s">
        <v>595</v>
      </c>
      <c r="I43" s="11" t="s">
        <v>596</v>
      </c>
      <c r="J43" s="14">
        <v>113.4</v>
      </c>
    </row>
    <row r="44" spans="1:10" ht="252" x14ac:dyDescent="0.15">
      <c r="A44" s="11" t="s">
        <v>696</v>
      </c>
      <c r="B44" s="11" t="s">
        <v>697</v>
      </c>
      <c r="C44" s="11" t="s">
        <v>420</v>
      </c>
      <c r="D44" s="11" t="s">
        <v>8</v>
      </c>
      <c r="E44" s="11" t="s">
        <v>602</v>
      </c>
      <c r="F44" s="11" t="s">
        <v>4</v>
      </c>
      <c r="G44" s="11" t="s">
        <v>594</v>
      </c>
      <c r="H44" s="11" t="s">
        <v>595</v>
      </c>
      <c r="I44" s="11" t="s">
        <v>596</v>
      </c>
      <c r="J44" s="14">
        <v>0</v>
      </c>
    </row>
    <row r="45" spans="1:10" ht="252" x14ac:dyDescent="0.15">
      <c r="A45" s="11" t="s">
        <v>698</v>
      </c>
      <c r="B45" s="11" t="s">
        <v>699</v>
      </c>
      <c r="C45" s="11" t="s">
        <v>392</v>
      </c>
      <c r="D45" s="11" t="s">
        <v>8</v>
      </c>
      <c r="E45" s="11" t="s">
        <v>599</v>
      </c>
      <c r="F45" s="11" t="s">
        <v>4</v>
      </c>
      <c r="G45" s="11" t="s">
        <v>594</v>
      </c>
      <c r="H45" s="11" t="s">
        <v>595</v>
      </c>
      <c r="I45" s="11" t="s">
        <v>596</v>
      </c>
      <c r="J45" s="14">
        <v>14.7</v>
      </c>
    </row>
    <row r="46" spans="1:10" ht="252" x14ac:dyDescent="0.15">
      <c r="A46" s="11" t="s">
        <v>700</v>
      </c>
      <c r="B46" s="11" t="s">
        <v>701</v>
      </c>
      <c r="C46" s="11" t="s">
        <v>304</v>
      </c>
      <c r="D46" s="11" t="s">
        <v>8</v>
      </c>
      <c r="E46" s="11" t="s">
        <v>608</v>
      </c>
      <c r="F46" s="11" t="s">
        <v>4</v>
      </c>
      <c r="G46" s="11" t="s">
        <v>594</v>
      </c>
      <c r="H46" s="11" t="s">
        <v>595</v>
      </c>
      <c r="I46" s="11" t="s">
        <v>596</v>
      </c>
      <c r="J46" s="14">
        <v>36.11</v>
      </c>
    </row>
    <row r="47" spans="1:10" ht="252" x14ac:dyDescent="0.15">
      <c r="A47" s="11" t="s">
        <v>702</v>
      </c>
      <c r="B47" s="11" t="s">
        <v>703</v>
      </c>
      <c r="C47" s="11" t="s">
        <v>380</v>
      </c>
      <c r="D47" s="11" t="s">
        <v>8</v>
      </c>
      <c r="E47" s="11" t="s">
        <v>673</v>
      </c>
      <c r="F47" s="11" t="s">
        <v>4</v>
      </c>
      <c r="G47" s="11" t="s">
        <v>594</v>
      </c>
      <c r="H47" s="11" t="s">
        <v>595</v>
      </c>
      <c r="I47" s="11" t="s">
        <v>596</v>
      </c>
      <c r="J47" s="14">
        <v>75.319999999999993</v>
      </c>
    </row>
    <row r="48" spans="1:10" ht="252" x14ac:dyDescent="0.15">
      <c r="A48" s="11" t="s">
        <v>706</v>
      </c>
      <c r="B48" s="11" t="s">
        <v>707</v>
      </c>
      <c r="C48" s="11" t="s">
        <v>344</v>
      </c>
      <c r="D48" s="11" t="s">
        <v>8</v>
      </c>
      <c r="E48" s="11" t="s">
        <v>602</v>
      </c>
      <c r="F48" s="11" t="s">
        <v>4</v>
      </c>
      <c r="G48" s="11" t="s">
        <v>594</v>
      </c>
      <c r="H48" s="11" t="s">
        <v>595</v>
      </c>
      <c r="I48" s="11" t="s">
        <v>596</v>
      </c>
      <c r="J48" s="14">
        <v>0</v>
      </c>
    </row>
    <row r="49" spans="1:10" ht="252" x14ac:dyDescent="0.15">
      <c r="A49" s="11" t="s">
        <v>708</v>
      </c>
      <c r="B49" s="11" t="s">
        <v>709</v>
      </c>
      <c r="C49" s="11" t="s">
        <v>512</v>
      </c>
      <c r="D49" s="11" t="s">
        <v>8</v>
      </c>
      <c r="E49" s="11" t="s">
        <v>646</v>
      </c>
      <c r="F49" s="11" t="s">
        <v>4</v>
      </c>
      <c r="G49" s="11" t="s">
        <v>594</v>
      </c>
      <c r="H49" s="11" t="s">
        <v>595</v>
      </c>
      <c r="I49" s="11" t="s">
        <v>596</v>
      </c>
      <c r="J49" s="14">
        <v>83.96</v>
      </c>
    </row>
    <row r="50" spans="1:10" ht="252" x14ac:dyDescent="0.15">
      <c r="A50" s="11" t="s">
        <v>710</v>
      </c>
      <c r="B50" s="11" t="s">
        <v>711</v>
      </c>
      <c r="C50" s="11" t="s">
        <v>164</v>
      </c>
      <c r="D50" s="11" t="s">
        <v>8</v>
      </c>
      <c r="E50" s="11" t="s">
        <v>602</v>
      </c>
      <c r="F50" s="11" t="s">
        <v>4</v>
      </c>
      <c r="G50" s="11" t="s">
        <v>594</v>
      </c>
      <c r="H50" s="11" t="s">
        <v>595</v>
      </c>
      <c r="I50" s="11" t="s">
        <v>596</v>
      </c>
      <c r="J50" s="14">
        <v>75.319999999999993</v>
      </c>
    </row>
    <row r="51" spans="1:10" ht="252" x14ac:dyDescent="0.15">
      <c r="A51" s="11" t="s">
        <v>716</v>
      </c>
      <c r="B51" s="11" t="s">
        <v>717</v>
      </c>
      <c r="C51" s="11" t="s">
        <v>308</v>
      </c>
      <c r="D51" s="11" t="s">
        <v>8</v>
      </c>
      <c r="E51" s="11" t="s">
        <v>616</v>
      </c>
      <c r="F51" s="11" t="s">
        <v>4</v>
      </c>
      <c r="G51" s="11" t="s">
        <v>594</v>
      </c>
      <c r="H51" s="11" t="s">
        <v>595</v>
      </c>
      <c r="I51" s="11" t="s">
        <v>596</v>
      </c>
      <c r="J51" s="14">
        <v>14.7</v>
      </c>
    </row>
    <row r="52" spans="1:10" ht="252" x14ac:dyDescent="0.15">
      <c r="A52" s="11" t="s">
        <v>718</v>
      </c>
      <c r="B52" s="11" t="s">
        <v>719</v>
      </c>
      <c r="C52" s="11" t="s">
        <v>68</v>
      </c>
      <c r="D52" s="11" t="s">
        <v>8</v>
      </c>
      <c r="E52" s="11" t="s">
        <v>605</v>
      </c>
      <c r="F52" s="11" t="s">
        <v>4</v>
      </c>
      <c r="G52" s="11" t="s">
        <v>594</v>
      </c>
      <c r="H52" s="11" t="s">
        <v>595</v>
      </c>
      <c r="I52" s="11" t="s">
        <v>596</v>
      </c>
      <c r="J52" s="14">
        <v>75.319999999999993</v>
      </c>
    </row>
    <row r="53" spans="1:10" ht="252" x14ac:dyDescent="0.15">
      <c r="A53" s="11" t="s">
        <v>725</v>
      </c>
      <c r="B53" s="11" t="s">
        <v>726</v>
      </c>
      <c r="C53" s="11" t="s">
        <v>352</v>
      </c>
      <c r="D53" s="11" t="s">
        <v>8</v>
      </c>
      <c r="E53" s="11" t="s">
        <v>611</v>
      </c>
      <c r="F53" s="11" t="s">
        <v>4</v>
      </c>
      <c r="G53" s="11" t="s">
        <v>594</v>
      </c>
      <c r="H53" s="11" t="s">
        <v>595</v>
      </c>
      <c r="I53" s="11" t="s">
        <v>596</v>
      </c>
      <c r="J53" s="14">
        <v>36.11</v>
      </c>
    </row>
    <row r="54" spans="1:10" ht="252" x14ac:dyDescent="0.15">
      <c r="A54" s="11" t="s">
        <v>727</v>
      </c>
      <c r="B54" s="11" t="s">
        <v>728</v>
      </c>
      <c r="C54" s="11" t="s">
        <v>280</v>
      </c>
      <c r="D54" s="11" t="s">
        <v>8</v>
      </c>
      <c r="E54" s="11" t="s">
        <v>673</v>
      </c>
      <c r="F54" s="11" t="s">
        <v>4</v>
      </c>
      <c r="G54" s="11" t="s">
        <v>594</v>
      </c>
      <c r="H54" s="11" t="s">
        <v>595</v>
      </c>
      <c r="I54" s="11" t="s">
        <v>596</v>
      </c>
      <c r="J54" s="14">
        <v>83.96</v>
      </c>
    </row>
    <row r="55" spans="1:10" ht="252" x14ac:dyDescent="0.15">
      <c r="A55" s="11" t="s">
        <v>729</v>
      </c>
      <c r="B55" s="11" t="s">
        <v>730</v>
      </c>
      <c r="C55" s="11" t="s">
        <v>72</v>
      </c>
      <c r="D55" s="11" t="s">
        <v>8</v>
      </c>
      <c r="E55" s="11" t="s">
        <v>637</v>
      </c>
      <c r="F55" s="11" t="s">
        <v>4</v>
      </c>
      <c r="G55" s="11" t="s">
        <v>594</v>
      </c>
      <c r="H55" s="11" t="s">
        <v>595</v>
      </c>
      <c r="I55" s="11" t="s">
        <v>596</v>
      </c>
      <c r="J55" s="14">
        <v>75.319999999999993</v>
      </c>
    </row>
    <row r="56" spans="1:10" ht="252" x14ac:dyDescent="0.15">
      <c r="A56" s="11" t="s">
        <v>731</v>
      </c>
      <c r="B56" s="11" t="s">
        <v>732</v>
      </c>
      <c r="C56" s="11" t="s">
        <v>248</v>
      </c>
      <c r="D56" s="11" t="s">
        <v>8</v>
      </c>
      <c r="E56" s="11" t="s">
        <v>673</v>
      </c>
      <c r="F56" s="11" t="s">
        <v>4</v>
      </c>
      <c r="G56" s="11" t="s">
        <v>594</v>
      </c>
      <c r="H56" s="11" t="s">
        <v>595</v>
      </c>
      <c r="I56" s="11" t="s">
        <v>596</v>
      </c>
      <c r="J56" s="14">
        <v>75.319999999999993</v>
      </c>
    </row>
    <row r="57" spans="1:10" ht="252" x14ac:dyDescent="0.15">
      <c r="A57" s="11" t="s">
        <v>733</v>
      </c>
      <c r="B57" s="11" t="s">
        <v>734</v>
      </c>
      <c r="C57" s="11" t="s">
        <v>196</v>
      </c>
      <c r="D57" s="11" t="s">
        <v>8</v>
      </c>
      <c r="E57" s="11" t="s">
        <v>608</v>
      </c>
      <c r="F57" s="11" t="s">
        <v>4</v>
      </c>
      <c r="G57" s="11" t="s">
        <v>594</v>
      </c>
      <c r="H57" s="11" t="s">
        <v>595</v>
      </c>
      <c r="I57" s="11" t="s">
        <v>596</v>
      </c>
      <c r="J57" s="14">
        <v>27.69</v>
      </c>
    </row>
    <row r="58" spans="1:10" ht="252" x14ac:dyDescent="0.15">
      <c r="A58" s="11" t="s">
        <v>739</v>
      </c>
      <c r="B58" s="11" t="s">
        <v>740</v>
      </c>
      <c r="C58" s="11" t="s">
        <v>232</v>
      </c>
      <c r="D58" s="11" t="s">
        <v>8</v>
      </c>
      <c r="E58" s="11" t="s">
        <v>673</v>
      </c>
      <c r="F58" s="11" t="s">
        <v>4</v>
      </c>
      <c r="G58" s="11" t="s">
        <v>594</v>
      </c>
      <c r="H58" s="11" t="s">
        <v>595</v>
      </c>
      <c r="I58" s="11" t="s">
        <v>596</v>
      </c>
      <c r="J58" s="14">
        <v>27.69</v>
      </c>
    </row>
    <row r="59" spans="1:10" ht="252" x14ac:dyDescent="0.15">
      <c r="A59" s="11" t="s">
        <v>741</v>
      </c>
      <c r="B59" s="11" t="s">
        <v>742</v>
      </c>
      <c r="C59" s="11" t="s">
        <v>472</v>
      </c>
      <c r="D59" s="11" t="s">
        <v>8</v>
      </c>
      <c r="E59" s="11" t="s">
        <v>637</v>
      </c>
      <c r="F59" s="11" t="s">
        <v>4</v>
      </c>
      <c r="G59" s="11" t="s">
        <v>594</v>
      </c>
      <c r="H59" s="11" t="s">
        <v>595</v>
      </c>
      <c r="I59" s="11" t="s">
        <v>596</v>
      </c>
      <c r="J59" s="14">
        <v>27.69</v>
      </c>
    </row>
    <row r="60" spans="1:10" ht="252" x14ac:dyDescent="0.15">
      <c r="A60" s="11" t="s">
        <v>743</v>
      </c>
      <c r="B60" s="11" t="s">
        <v>744</v>
      </c>
      <c r="C60" s="11" t="s">
        <v>480</v>
      </c>
      <c r="D60" s="11" t="s">
        <v>8</v>
      </c>
      <c r="E60" s="11" t="s">
        <v>611</v>
      </c>
      <c r="F60" s="11" t="s">
        <v>4</v>
      </c>
      <c r="G60" s="11" t="s">
        <v>594</v>
      </c>
      <c r="H60" s="11" t="s">
        <v>595</v>
      </c>
      <c r="I60" s="11" t="s">
        <v>596</v>
      </c>
      <c r="J60" s="14">
        <v>75.319999999999993</v>
      </c>
    </row>
    <row r="61" spans="1:10" ht="252" x14ac:dyDescent="0.15">
      <c r="A61" s="11" t="s">
        <v>747</v>
      </c>
      <c r="B61" s="11" t="s">
        <v>748</v>
      </c>
      <c r="C61" s="11" t="s">
        <v>104</v>
      </c>
      <c r="D61" s="11" t="s">
        <v>8</v>
      </c>
      <c r="E61" s="11" t="s">
        <v>749</v>
      </c>
      <c r="F61" s="11" t="s">
        <v>4</v>
      </c>
      <c r="G61" s="11" t="s">
        <v>594</v>
      </c>
      <c r="H61" s="11" t="s">
        <v>595</v>
      </c>
      <c r="I61" s="11" t="s">
        <v>596</v>
      </c>
      <c r="J61" s="14">
        <v>75.319999999999993</v>
      </c>
    </row>
    <row r="62" spans="1:10" ht="252" x14ac:dyDescent="0.15">
      <c r="A62" s="11" t="s">
        <v>750</v>
      </c>
      <c r="B62" s="11" t="s">
        <v>751</v>
      </c>
      <c r="C62" s="11" t="s">
        <v>200</v>
      </c>
      <c r="D62" s="11" t="s">
        <v>8</v>
      </c>
      <c r="E62" s="11" t="s">
        <v>673</v>
      </c>
      <c r="F62" s="11" t="s">
        <v>4</v>
      </c>
      <c r="G62" s="11" t="s">
        <v>594</v>
      </c>
      <c r="H62" s="11" t="s">
        <v>595</v>
      </c>
      <c r="I62" s="11" t="s">
        <v>596</v>
      </c>
      <c r="J62" s="14">
        <v>63.8</v>
      </c>
    </row>
    <row r="63" spans="1:10" ht="252" x14ac:dyDescent="0.15">
      <c r="A63" s="11" t="s">
        <v>752</v>
      </c>
      <c r="B63" s="11" t="s">
        <v>753</v>
      </c>
      <c r="C63" s="11" t="s">
        <v>488</v>
      </c>
      <c r="D63" s="11" t="s">
        <v>8</v>
      </c>
      <c r="E63" s="11" t="s">
        <v>673</v>
      </c>
      <c r="F63" s="11" t="s">
        <v>4</v>
      </c>
      <c r="G63" s="11" t="s">
        <v>594</v>
      </c>
      <c r="H63" s="11" t="s">
        <v>595</v>
      </c>
      <c r="I63" s="11" t="s">
        <v>596</v>
      </c>
      <c r="J63" s="14">
        <v>75.319999999999993</v>
      </c>
    </row>
    <row r="64" spans="1:10" ht="252" x14ac:dyDescent="0.15">
      <c r="A64" s="11" t="s">
        <v>754</v>
      </c>
      <c r="B64" s="11" t="s">
        <v>755</v>
      </c>
      <c r="C64" s="11" t="s">
        <v>456</v>
      </c>
      <c r="D64" s="11" t="s">
        <v>8</v>
      </c>
      <c r="E64" s="11" t="s">
        <v>673</v>
      </c>
      <c r="F64" s="11" t="s">
        <v>4</v>
      </c>
      <c r="G64" s="11" t="s">
        <v>594</v>
      </c>
      <c r="H64" s="11" t="s">
        <v>595</v>
      </c>
      <c r="I64" s="11" t="s">
        <v>596</v>
      </c>
      <c r="J64" s="14">
        <v>75.319999999999993</v>
      </c>
    </row>
    <row r="65" spans="1:10" ht="252" x14ac:dyDescent="0.15">
      <c r="A65" s="11" t="s">
        <v>756</v>
      </c>
      <c r="B65" s="11" t="s">
        <v>757</v>
      </c>
      <c r="C65" s="11" t="s">
        <v>168</v>
      </c>
      <c r="D65" s="11" t="s">
        <v>8</v>
      </c>
      <c r="E65" s="11" t="s">
        <v>611</v>
      </c>
      <c r="F65" s="11" t="s">
        <v>4</v>
      </c>
      <c r="G65" s="11" t="s">
        <v>594</v>
      </c>
      <c r="H65" s="11" t="s">
        <v>595</v>
      </c>
      <c r="I65" s="11" t="s">
        <v>596</v>
      </c>
      <c r="J65" s="14">
        <v>63.8</v>
      </c>
    </row>
    <row r="66" spans="1:10" ht="252" x14ac:dyDescent="0.15">
      <c r="A66" s="11" t="s">
        <v>758</v>
      </c>
      <c r="B66" s="11" t="s">
        <v>759</v>
      </c>
      <c r="C66" s="11" t="s">
        <v>256</v>
      </c>
      <c r="D66" s="11" t="s">
        <v>8</v>
      </c>
      <c r="E66" s="11" t="s">
        <v>605</v>
      </c>
      <c r="F66" s="11" t="s">
        <v>4</v>
      </c>
      <c r="G66" s="11" t="s">
        <v>594</v>
      </c>
      <c r="H66" s="11" t="s">
        <v>595</v>
      </c>
      <c r="I66" s="11" t="s">
        <v>596</v>
      </c>
      <c r="J66" s="14">
        <v>75.319999999999993</v>
      </c>
    </row>
    <row r="67" spans="1:10" ht="252" x14ac:dyDescent="0.15">
      <c r="A67" s="11" t="s">
        <v>764</v>
      </c>
      <c r="B67" s="11" t="s">
        <v>765</v>
      </c>
      <c r="C67" s="11" t="s">
        <v>172</v>
      </c>
      <c r="D67" s="11" t="s">
        <v>8</v>
      </c>
      <c r="E67" s="11" t="s">
        <v>611</v>
      </c>
      <c r="F67" s="11" t="s">
        <v>4</v>
      </c>
      <c r="G67" s="11" t="s">
        <v>594</v>
      </c>
      <c r="H67" s="11" t="s">
        <v>595</v>
      </c>
      <c r="I67" s="11" t="s">
        <v>596</v>
      </c>
      <c r="J67" s="14">
        <v>27.69</v>
      </c>
    </row>
    <row r="68" spans="1:10" ht="252" x14ac:dyDescent="0.15">
      <c r="A68" s="11" t="s">
        <v>766</v>
      </c>
      <c r="B68" s="11" t="s">
        <v>767</v>
      </c>
      <c r="C68" s="11" t="s">
        <v>508</v>
      </c>
      <c r="D68" s="11" t="s">
        <v>8</v>
      </c>
      <c r="E68" s="11" t="s">
        <v>599</v>
      </c>
      <c r="F68" s="11" t="s">
        <v>4</v>
      </c>
      <c r="G68" s="11" t="s">
        <v>594</v>
      </c>
      <c r="H68" s="11" t="s">
        <v>595</v>
      </c>
      <c r="I68" s="11" t="s">
        <v>596</v>
      </c>
      <c r="J68" s="14">
        <v>75.319999999999993</v>
      </c>
    </row>
    <row r="69" spans="1:10" ht="252" x14ac:dyDescent="0.15">
      <c r="A69" s="11" t="s">
        <v>768</v>
      </c>
      <c r="B69" s="11" t="s">
        <v>769</v>
      </c>
      <c r="C69" s="11" t="s">
        <v>364</v>
      </c>
      <c r="D69" s="11" t="s">
        <v>8</v>
      </c>
      <c r="E69" s="11" t="s">
        <v>602</v>
      </c>
      <c r="F69" s="11" t="s">
        <v>4</v>
      </c>
      <c r="G69" s="11" t="s">
        <v>594</v>
      </c>
      <c r="H69" s="11" t="s">
        <v>595</v>
      </c>
      <c r="I69" s="11" t="s">
        <v>596</v>
      </c>
      <c r="J69" s="14">
        <v>83.96</v>
      </c>
    </row>
    <row r="70" spans="1:10" ht="252" x14ac:dyDescent="0.15">
      <c r="A70" s="11" t="s">
        <v>772</v>
      </c>
      <c r="B70" s="11" t="s">
        <v>773</v>
      </c>
      <c r="C70" s="11" t="s">
        <v>368</v>
      </c>
      <c r="D70" s="11" t="s">
        <v>8</v>
      </c>
      <c r="E70" s="11" t="s">
        <v>605</v>
      </c>
      <c r="F70" s="11" t="s">
        <v>4</v>
      </c>
      <c r="G70" s="11" t="s">
        <v>594</v>
      </c>
      <c r="H70" s="11" t="s">
        <v>595</v>
      </c>
      <c r="I70" s="11" t="s">
        <v>596</v>
      </c>
      <c r="J70" s="14">
        <v>75.319999999999993</v>
      </c>
    </row>
    <row r="71" spans="1:10" ht="252" x14ac:dyDescent="0.15">
      <c r="A71" s="11" t="s">
        <v>774</v>
      </c>
      <c r="B71" s="11" t="s">
        <v>775</v>
      </c>
      <c r="C71" s="11" t="s">
        <v>284</v>
      </c>
      <c r="D71" s="11" t="s">
        <v>8</v>
      </c>
      <c r="E71" s="11" t="s">
        <v>637</v>
      </c>
      <c r="F71" s="11" t="s">
        <v>4</v>
      </c>
      <c r="G71" s="11" t="s">
        <v>594</v>
      </c>
      <c r="H71" s="11" t="s">
        <v>595</v>
      </c>
      <c r="I71" s="11" t="s">
        <v>596</v>
      </c>
      <c r="J71" s="14">
        <v>36.11</v>
      </c>
    </row>
    <row r="72" spans="1:10" ht="252" x14ac:dyDescent="0.15">
      <c r="A72" s="11" t="s">
        <v>776</v>
      </c>
      <c r="B72" s="11" t="s">
        <v>777</v>
      </c>
      <c r="C72" s="11" t="s">
        <v>528</v>
      </c>
      <c r="D72" s="11" t="s">
        <v>8</v>
      </c>
      <c r="E72" s="11" t="s">
        <v>608</v>
      </c>
      <c r="F72" s="11" t="s">
        <v>4</v>
      </c>
      <c r="G72" s="11" t="s">
        <v>594</v>
      </c>
      <c r="H72" s="11" t="s">
        <v>595</v>
      </c>
      <c r="I72" s="11" t="s">
        <v>596</v>
      </c>
      <c r="J72" s="14">
        <v>63.8</v>
      </c>
    </row>
    <row r="73" spans="1:10" ht="252" x14ac:dyDescent="0.15">
      <c r="A73" s="11" t="s">
        <v>780</v>
      </c>
      <c r="B73" s="11" t="s">
        <v>781</v>
      </c>
      <c r="C73" s="11" t="s">
        <v>176</v>
      </c>
      <c r="D73" s="11" t="s">
        <v>8</v>
      </c>
      <c r="E73" s="11" t="s">
        <v>602</v>
      </c>
      <c r="F73" s="11" t="s">
        <v>4</v>
      </c>
      <c r="G73" s="11" t="s">
        <v>594</v>
      </c>
      <c r="H73" s="11" t="s">
        <v>595</v>
      </c>
      <c r="I73" s="11" t="s">
        <v>596</v>
      </c>
      <c r="J73" s="14">
        <v>0</v>
      </c>
    </row>
    <row r="74" spans="1:10" ht="252" x14ac:dyDescent="0.15">
      <c r="A74" s="11" t="s">
        <v>782</v>
      </c>
      <c r="B74" s="11" t="s">
        <v>783</v>
      </c>
      <c r="C74" s="11" t="s">
        <v>148</v>
      </c>
      <c r="D74" s="11" t="s">
        <v>8</v>
      </c>
      <c r="E74" s="11" t="s">
        <v>599</v>
      </c>
      <c r="F74" s="11" t="s">
        <v>4</v>
      </c>
      <c r="G74" s="11" t="s">
        <v>594</v>
      </c>
      <c r="H74" s="11" t="s">
        <v>595</v>
      </c>
      <c r="I74" s="11" t="s">
        <v>596</v>
      </c>
      <c r="J74" s="14">
        <v>36.11</v>
      </c>
    </row>
    <row r="75" spans="1:10" ht="252" x14ac:dyDescent="0.15">
      <c r="A75" s="11" t="s">
        <v>784</v>
      </c>
      <c r="B75" s="11" t="s">
        <v>785</v>
      </c>
      <c r="C75" s="11" t="s">
        <v>180</v>
      </c>
      <c r="D75" s="11" t="s">
        <v>8</v>
      </c>
      <c r="E75" s="11" t="s">
        <v>673</v>
      </c>
      <c r="F75" s="11" t="s">
        <v>4</v>
      </c>
      <c r="G75" s="11" t="s">
        <v>594</v>
      </c>
      <c r="H75" s="11" t="s">
        <v>595</v>
      </c>
      <c r="I75" s="11" t="s">
        <v>596</v>
      </c>
      <c r="J75" s="14">
        <v>63.8</v>
      </c>
    </row>
    <row r="76" spans="1:10" ht="252" x14ac:dyDescent="0.15">
      <c r="A76" s="11" t="s">
        <v>786</v>
      </c>
      <c r="B76" s="11" t="s">
        <v>787</v>
      </c>
      <c r="C76" s="11" t="s">
        <v>416</v>
      </c>
      <c r="D76" s="11" t="s">
        <v>8</v>
      </c>
      <c r="E76" s="11" t="s">
        <v>602</v>
      </c>
      <c r="F76" s="11" t="s">
        <v>4</v>
      </c>
      <c r="G76" s="11" t="s">
        <v>594</v>
      </c>
      <c r="H76" s="11" t="s">
        <v>595</v>
      </c>
      <c r="I76" s="11" t="s">
        <v>596</v>
      </c>
      <c r="J76" s="14">
        <v>75.319999999999993</v>
      </c>
    </row>
    <row r="77" spans="1:10" ht="252" x14ac:dyDescent="0.15">
      <c r="A77" s="11" t="s">
        <v>790</v>
      </c>
      <c r="B77" s="11" t="s">
        <v>791</v>
      </c>
      <c r="C77" s="11" t="s">
        <v>184</v>
      </c>
      <c r="D77" s="11" t="s">
        <v>8</v>
      </c>
      <c r="E77" s="11" t="s">
        <v>611</v>
      </c>
      <c r="F77" s="11" t="s">
        <v>4</v>
      </c>
      <c r="G77" s="11" t="s">
        <v>594</v>
      </c>
      <c r="H77" s="11" t="s">
        <v>595</v>
      </c>
      <c r="I77" s="11" t="s">
        <v>596</v>
      </c>
      <c r="J77" s="14">
        <v>27.69</v>
      </c>
    </row>
    <row r="78" spans="1:10" ht="252" x14ac:dyDescent="0.15">
      <c r="A78" s="11" t="s">
        <v>792</v>
      </c>
      <c r="B78" s="11" t="s">
        <v>793</v>
      </c>
      <c r="C78" s="11" t="s">
        <v>372</v>
      </c>
      <c r="D78" s="11" t="s">
        <v>8</v>
      </c>
      <c r="E78" s="11" t="s">
        <v>611</v>
      </c>
      <c r="F78" s="11" t="s">
        <v>4</v>
      </c>
      <c r="G78" s="11" t="s">
        <v>594</v>
      </c>
      <c r="H78" s="11" t="s">
        <v>595</v>
      </c>
      <c r="I78" s="11" t="s">
        <v>596</v>
      </c>
      <c r="J78" s="14">
        <v>0</v>
      </c>
    </row>
    <row r="79" spans="1:10" ht="252" x14ac:dyDescent="0.15">
      <c r="A79" s="11" t="s">
        <v>794</v>
      </c>
      <c r="B79" s="11" t="s">
        <v>795</v>
      </c>
      <c r="C79" s="11" t="s">
        <v>76</v>
      </c>
      <c r="D79" s="11" t="s">
        <v>8</v>
      </c>
      <c r="E79" s="11" t="s">
        <v>637</v>
      </c>
      <c r="F79" s="11" t="s">
        <v>4</v>
      </c>
      <c r="G79" s="11" t="s">
        <v>594</v>
      </c>
      <c r="H79" s="11" t="s">
        <v>595</v>
      </c>
      <c r="I79" s="11" t="s">
        <v>596</v>
      </c>
      <c r="J79" s="14">
        <v>75.319999999999993</v>
      </c>
    </row>
    <row r="80" spans="1:10" ht="252" x14ac:dyDescent="0.15">
      <c r="A80" s="11" t="s">
        <v>798</v>
      </c>
      <c r="B80" s="11" t="s">
        <v>799</v>
      </c>
      <c r="C80" s="11" t="s">
        <v>432</v>
      </c>
      <c r="D80" s="11" t="s">
        <v>8</v>
      </c>
      <c r="E80" s="11" t="s">
        <v>800</v>
      </c>
      <c r="F80" s="11" t="s">
        <v>4</v>
      </c>
      <c r="G80" s="11" t="s">
        <v>594</v>
      </c>
      <c r="H80" s="11" t="s">
        <v>595</v>
      </c>
      <c r="I80" s="11" t="s">
        <v>596</v>
      </c>
      <c r="J80" s="14">
        <v>31.28</v>
      </c>
    </row>
    <row r="81" spans="1:10" ht="252" x14ac:dyDescent="0.15">
      <c r="A81" s="11" t="s">
        <v>801</v>
      </c>
      <c r="B81" s="11" t="s">
        <v>802</v>
      </c>
      <c r="C81" s="11" t="s">
        <v>236</v>
      </c>
      <c r="D81" s="11" t="s">
        <v>8</v>
      </c>
      <c r="E81" s="11" t="s">
        <v>673</v>
      </c>
      <c r="F81" s="11" t="s">
        <v>4</v>
      </c>
      <c r="G81" s="11" t="s">
        <v>594</v>
      </c>
      <c r="H81" s="11" t="s">
        <v>595</v>
      </c>
      <c r="I81" s="11" t="s">
        <v>596</v>
      </c>
      <c r="J81" s="14">
        <v>75.319999999999993</v>
      </c>
    </row>
    <row r="82" spans="1:10" ht="252" x14ac:dyDescent="0.15">
      <c r="A82" s="11" t="s">
        <v>803</v>
      </c>
      <c r="B82" s="11" t="s">
        <v>804</v>
      </c>
      <c r="C82" s="11" t="s">
        <v>312</v>
      </c>
      <c r="D82" s="11" t="s">
        <v>8</v>
      </c>
      <c r="E82" s="11" t="s">
        <v>605</v>
      </c>
      <c r="F82" s="11" t="s">
        <v>4</v>
      </c>
      <c r="G82" s="11" t="s">
        <v>594</v>
      </c>
      <c r="H82" s="11" t="s">
        <v>595</v>
      </c>
      <c r="I82" s="11" t="s">
        <v>596</v>
      </c>
      <c r="J82" s="14">
        <v>31.28</v>
      </c>
    </row>
    <row r="83" spans="1:10" ht="252" x14ac:dyDescent="0.15">
      <c r="A83" s="11" t="s">
        <v>805</v>
      </c>
      <c r="B83" s="11" t="s">
        <v>806</v>
      </c>
      <c r="C83" s="11" t="s">
        <v>52</v>
      </c>
      <c r="D83" s="11" t="s">
        <v>8</v>
      </c>
      <c r="E83" s="11" t="s">
        <v>590</v>
      </c>
      <c r="F83" s="11" t="s">
        <v>4</v>
      </c>
      <c r="G83" s="11" t="s">
        <v>594</v>
      </c>
      <c r="H83" s="11" t="s">
        <v>595</v>
      </c>
      <c r="I83" s="11" t="s">
        <v>596</v>
      </c>
      <c r="J83" s="14">
        <v>75.319999999999993</v>
      </c>
    </row>
    <row r="84" spans="1:10" ht="252" x14ac:dyDescent="0.15">
      <c r="A84" s="11" t="s">
        <v>807</v>
      </c>
      <c r="B84" s="11" t="s">
        <v>808</v>
      </c>
      <c r="C84" s="11" t="s">
        <v>160</v>
      </c>
      <c r="D84" s="11" t="s">
        <v>8</v>
      </c>
      <c r="E84" s="11" t="s">
        <v>611</v>
      </c>
      <c r="F84" s="11" t="s">
        <v>4</v>
      </c>
      <c r="G84" s="11" t="s">
        <v>594</v>
      </c>
      <c r="H84" s="11" t="s">
        <v>595</v>
      </c>
      <c r="I84" s="11" t="s">
        <v>596</v>
      </c>
      <c r="J84" s="14">
        <v>0</v>
      </c>
    </row>
    <row r="85" spans="1:10" ht="252" x14ac:dyDescent="0.15">
      <c r="A85" s="11" t="s">
        <v>809</v>
      </c>
      <c r="B85" s="11" t="s">
        <v>810</v>
      </c>
      <c r="C85" s="11" t="s">
        <v>436</v>
      </c>
      <c r="D85" s="11" t="s">
        <v>8</v>
      </c>
      <c r="E85" s="11" t="s">
        <v>602</v>
      </c>
      <c r="F85" s="11" t="s">
        <v>4</v>
      </c>
      <c r="G85" s="11" t="s">
        <v>594</v>
      </c>
      <c r="H85" s="11" t="s">
        <v>595</v>
      </c>
      <c r="I85" s="11" t="s">
        <v>596</v>
      </c>
      <c r="J85" s="14">
        <v>44.88</v>
      </c>
    </row>
    <row r="86" spans="1:10" ht="252" x14ac:dyDescent="0.15">
      <c r="A86" s="11" t="s">
        <v>811</v>
      </c>
      <c r="B86" s="11" t="s">
        <v>812</v>
      </c>
      <c r="C86" s="11" t="s">
        <v>296</v>
      </c>
      <c r="D86" s="11" t="s">
        <v>8</v>
      </c>
      <c r="E86" s="11" t="s">
        <v>599</v>
      </c>
      <c r="F86" s="11" t="s">
        <v>4</v>
      </c>
      <c r="G86" s="11" t="s">
        <v>594</v>
      </c>
      <c r="H86" s="11" t="s">
        <v>595</v>
      </c>
      <c r="I86" s="11" t="s">
        <v>596</v>
      </c>
      <c r="J86" s="14">
        <v>27.69</v>
      </c>
    </row>
    <row r="87" spans="1:10" ht="252" x14ac:dyDescent="0.15">
      <c r="A87" s="11" t="s">
        <v>813</v>
      </c>
      <c r="B87" s="11" t="s">
        <v>814</v>
      </c>
      <c r="C87" s="11" t="s">
        <v>552</v>
      </c>
      <c r="D87" s="11" t="s">
        <v>8</v>
      </c>
      <c r="E87" s="11" t="s">
        <v>616</v>
      </c>
      <c r="F87" s="11" t="s">
        <v>4</v>
      </c>
      <c r="G87" s="11" t="s">
        <v>594</v>
      </c>
      <c r="H87" s="11" t="s">
        <v>595</v>
      </c>
      <c r="I87" s="11" t="s">
        <v>596</v>
      </c>
      <c r="J87" s="14">
        <v>36.11</v>
      </c>
    </row>
    <row r="88" spans="1:10" ht="252" x14ac:dyDescent="0.15">
      <c r="A88" s="11" t="s">
        <v>815</v>
      </c>
      <c r="B88" s="11" t="s">
        <v>816</v>
      </c>
      <c r="C88" s="11" t="s">
        <v>240</v>
      </c>
      <c r="D88" s="11" t="s">
        <v>8</v>
      </c>
      <c r="E88" s="11" t="s">
        <v>637</v>
      </c>
      <c r="F88" s="11" t="s">
        <v>4</v>
      </c>
      <c r="G88" s="11" t="s">
        <v>594</v>
      </c>
      <c r="H88" s="11" t="s">
        <v>595</v>
      </c>
      <c r="I88" s="11" t="s">
        <v>596</v>
      </c>
      <c r="J88" s="14">
        <v>75.319999999999993</v>
      </c>
    </row>
    <row r="89" spans="1:10" ht="252" x14ac:dyDescent="0.15">
      <c r="A89" s="11" t="s">
        <v>817</v>
      </c>
      <c r="B89" s="11" t="s">
        <v>818</v>
      </c>
      <c r="C89" s="11" t="s">
        <v>524</v>
      </c>
      <c r="D89" s="11" t="s">
        <v>8</v>
      </c>
      <c r="E89" s="11" t="s">
        <v>605</v>
      </c>
      <c r="F89" s="11" t="s">
        <v>4</v>
      </c>
      <c r="G89" s="11" t="s">
        <v>594</v>
      </c>
      <c r="H89" s="11" t="s">
        <v>595</v>
      </c>
      <c r="I89" s="11" t="s">
        <v>596</v>
      </c>
      <c r="J89" s="14">
        <v>27.69</v>
      </c>
    </row>
    <row r="90" spans="1:10" ht="252" x14ac:dyDescent="0.15">
      <c r="A90" s="11" t="s">
        <v>819</v>
      </c>
      <c r="B90" s="11" t="s">
        <v>820</v>
      </c>
      <c r="C90" s="11" t="s">
        <v>400</v>
      </c>
      <c r="D90" s="11" t="s">
        <v>8</v>
      </c>
      <c r="E90" s="11" t="s">
        <v>602</v>
      </c>
      <c r="F90" s="11" t="s">
        <v>4</v>
      </c>
      <c r="G90" s="11" t="s">
        <v>594</v>
      </c>
      <c r="H90" s="11" t="s">
        <v>595</v>
      </c>
      <c r="I90" s="11" t="s">
        <v>596</v>
      </c>
      <c r="J90" s="14">
        <v>75.319999999999993</v>
      </c>
    </row>
    <row r="91" spans="1:10" ht="252" x14ac:dyDescent="0.15">
      <c r="A91" s="11" t="s">
        <v>823</v>
      </c>
      <c r="B91" s="11" t="s">
        <v>824</v>
      </c>
      <c r="C91" s="11" t="s">
        <v>288</v>
      </c>
      <c r="D91" s="11" t="s">
        <v>8</v>
      </c>
      <c r="E91" s="11" t="s">
        <v>637</v>
      </c>
      <c r="F91" s="11" t="s">
        <v>4</v>
      </c>
      <c r="G91" s="11" t="s">
        <v>594</v>
      </c>
      <c r="H91" s="11" t="s">
        <v>595</v>
      </c>
      <c r="I91" s="11" t="s">
        <v>596</v>
      </c>
      <c r="J91" s="14">
        <v>63.8</v>
      </c>
    </row>
    <row r="92" spans="1:10" ht="252" x14ac:dyDescent="0.15">
      <c r="A92" s="11" t="s">
        <v>829</v>
      </c>
      <c r="B92" s="11" t="s">
        <v>830</v>
      </c>
      <c r="C92" s="11" t="s">
        <v>204</v>
      </c>
      <c r="D92" s="11" t="s">
        <v>8</v>
      </c>
      <c r="E92" s="11" t="s">
        <v>599</v>
      </c>
      <c r="F92" s="11" t="s">
        <v>4</v>
      </c>
      <c r="G92" s="11" t="s">
        <v>594</v>
      </c>
      <c r="H92" s="11" t="s">
        <v>595</v>
      </c>
      <c r="I92" s="11" t="s">
        <v>596</v>
      </c>
      <c r="J92" s="14">
        <v>0</v>
      </c>
    </row>
    <row r="93" spans="1:10" ht="252" x14ac:dyDescent="0.15">
      <c r="A93" s="11" t="s">
        <v>831</v>
      </c>
      <c r="B93" s="11" t="s">
        <v>832</v>
      </c>
      <c r="C93" s="11" t="s">
        <v>228</v>
      </c>
      <c r="D93" s="11" t="s">
        <v>8</v>
      </c>
      <c r="E93" s="11" t="s">
        <v>673</v>
      </c>
      <c r="F93" s="11" t="s">
        <v>4</v>
      </c>
      <c r="G93" s="11" t="s">
        <v>594</v>
      </c>
      <c r="H93" s="11" t="s">
        <v>595</v>
      </c>
      <c r="I93" s="11" t="s">
        <v>596</v>
      </c>
      <c r="J93" s="14">
        <v>63.8</v>
      </c>
    </row>
    <row r="94" spans="1:10" ht="252" x14ac:dyDescent="0.15">
      <c r="A94" s="11" t="s">
        <v>833</v>
      </c>
      <c r="B94" s="11" t="s">
        <v>834</v>
      </c>
      <c r="C94" s="11" t="s">
        <v>188</v>
      </c>
      <c r="D94" s="11" t="s">
        <v>8</v>
      </c>
      <c r="E94" s="11" t="s">
        <v>673</v>
      </c>
      <c r="F94" s="11" t="s">
        <v>4</v>
      </c>
      <c r="G94" s="11" t="s">
        <v>594</v>
      </c>
      <c r="H94" s="11" t="s">
        <v>595</v>
      </c>
      <c r="I94" s="11" t="s">
        <v>596</v>
      </c>
      <c r="J94" s="14">
        <v>36.11</v>
      </c>
    </row>
    <row r="95" spans="1:10" ht="252" x14ac:dyDescent="0.15">
      <c r="A95" s="11" t="s">
        <v>835</v>
      </c>
      <c r="B95" s="11" t="s">
        <v>836</v>
      </c>
      <c r="C95" s="11" t="s">
        <v>376</v>
      </c>
      <c r="D95" s="11" t="s">
        <v>8</v>
      </c>
      <c r="E95" s="11" t="s">
        <v>602</v>
      </c>
      <c r="F95" s="11" t="s">
        <v>4</v>
      </c>
      <c r="G95" s="11" t="s">
        <v>594</v>
      </c>
      <c r="H95" s="11" t="s">
        <v>595</v>
      </c>
      <c r="I95" s="11" t="s">
        <v>596</v>
      </c>
      <c r="J95" s="14">
        <v>0</v>
      </c>
    </row>
    <row r="96" spans="1:10" ht="252" x14ac:dyDescent="0.15">
      <c r="A96" s="11" t="s">
        <v>837</v>
      </c>
      <c r="B96" s="11" t="s">
        <v>838</v>
      </c>
      <c r="C96" s="11" t="s">
        <v>80</v>
      </c>
      <c r="D96" s="11" t="s">
        <v>8</v>
      </c>
      <c r="E96" s="11" t="s">
        <v>800</v>
      </c>
      <c r="F96" s="11" t="s">
        <v>4</v>
      </c>
      <c r="G96" s="11" t="s">
        <v>594</v>
      </c>
      <c r="H96" s="11" t="s">
        <v>595</v>
      </c>
      <c r="I96" s="11" t="s">
        <v>596</v>
      </c>
      <c r="J96" s="14">
        <v>0</v>
      </c>
    </row>
    <row r="97" spans="1:10" ht="252" x14ac:dyDescent="0.15">
      <c r="A97" s="11" t="s">
        <v>839</v>
      </c>
      <c r="B97" s="11" t="s">
        <v>840</v>
      </c>
      <c r="C97" s="11" t="s">
        <v>532</v>
      </c>
      <c r="D97" s="11" t="s">
        <v>8</v>
      </c>
      <c r="E97" s="11" t="s">
        <v>599</v>
      </c>
      <c r="F97" s="11" t="s">
        <v>4</v>
      </c>
      <c r="G97" s="11" t="s">
        <v>594</v>
      </c>
      <c r="H97" s="11" t="s">
        <v>595</v>
      </c>
      <c r="I97" s="11" t="s">
        <v>596</v>
      </c>
      <c r="J97" s="14">
        <v>14.7</v>
      </c>
    </row>
    <row r="98" spans="1:10" ht="252" x14ac:dyDescent="0.15">
      <c r="A98" s="11" t="s">
        <v>841</v>
      </c>
      <c r="B98" s="11" t="s">
        <v>842</v>
      </c>
      <c r="C98" s="11" t="s">
        <v>84</v>
      </c>
      <c r="D98" s="11" t="s">
        <v>8</v>
      </c>
      <c r="E98" s="11" t="s">
        <v>605</v>
      </c>
      <c r="F98" s="11" t="s">
        <v>4</v>
      </c>
      <c r="G98" s="11" t="s">
        <v>594</v>
      </c>
      <c r="H98" s="11" t="s">
        <v>595</v>
      </c>
      <c r="I98" s="11" t="s">
        <v>596</v>
      </c>
      <c r="J98" s="14">
        <v>93.24</v>
      </c>
    </row>
    <row r="99" spans="1:10" ht="252" x14ac:dyDescent="0.15">
      <c r="A99" s="11" t="s">
        <v>845</v>
      </c>
      <c r="B99" s="11" t="s">
        <v>846</v>
      </c>
      <c r="C99" s="11" t="s">
        <v>440</v>
      </c>
      <c r="D99" s="11" t="s">
        <v>8</v>
      </c>
      <c r="E99" s="11" t="s">
        <v>637</v>
      </c>
      <c r="F99" s="11" t="s">
        <v>4</v>
      </c>
      <c r="G99" s="11" t="s">
        <v>594</v>
      </c>
      <c r="H99" s="11" t="s">
        <v>595</v>
      </c>
      <c r="I99" s="11" t="s">
        <v>596</v>
      </c>
      <c r="J99" s="14">
        <v>0</v>
      </c>
    </row>
    <row r="100" spans="1:10" ht="252" x14ac:dyDescent="0.15">
      <c r="A100" s="11" t="s">
        <v>847</v>
      </c>
      <c r="B100" s="11" t="s">
        <v>848</v>
      </c>
      <c r="C100" s="11" t="s">
        <v>516</v>
      </c>
      <c r="D100" s="11" t="s">
        <v>8</v>
      </c>
      <c r="E100" s="11" t="s">
        <v>673</v>
      </c>
      <c r="F100" s="11" t="s">
        <v>4</v>
      </c>
      <c r="G100" s="11" t="s">
        <v>594</v>
      </c>
      <c r="H100" s="11" t="s">
        <v>595</v>
      </c>
      <c r="I100" s="11" t="s">
        <v>596</v>
      </c>
      <c r="J100" s="14">
        <v>0</v>
      </c>
    </row>
    <row r="101" spans="1:10" ht="252" x14ac:dyDescent="0.15">
      <c r="A101" s="11" t="s">
        <v>849</v>
      </c>
      <c r="B101" s="11" t="s">
        <v>850</v>
      </c>
      <c r="C101" s="11" t="s">
        <v>220</v>
      </c>
      <c r="D101" s="11" t="s">
        <v>8</v>
      </c>
      <c r="E101" s="11" t="s">
        <v>602</v>
      </c>
      <c r="F101" s="11" t="s">
        <v>4</v>
      </c>
      <c r="G101" s="11" t="s">
        <v>594</v>
      </c>
      <c r="H101" s="11" t="s">
        <v>595</v>
      </c>
      <c r="I101" s="11" t="s">
        <v>596</v>
      </c>
      <c r="J101" s="14">
        <v>75.319999999999993</v>
      </c>
    </row>
    <row r="102" spans="1:10" ht="252" x14ac:dyDescent="0.15">
      <c r="A102" s="11" t="s">
        <v>851</v>
      </c>
      <c r="B102" s="11" t="s">
        <v>852</v>
      </c>
      <c r="C102" s="11" t="s">
        <v>560</v>
      </c>
      <c r="D102" s="11" t="s">
        <v>8</v>
      </c>
      <c r="E102" s="11" t="s">
        <v>608</v>
      </c>
      <c r="F102" s="11" t="s">
        <v>4</v>
      </c>
      <c r="G102" s="11" t="s">
        <v>594</v>
      </c>
      <c r="H102" s="11" t="s">
        <v>595</v>
      </c>
      <c r="I102" s="11" t="s">
        <v>596</v>
      </c>
      <c r="J102" s="14">
        <v>75.319999999999993</v>
      </c>
    </row>
    <row r="103" spans="1:10" ht="252" x14ac:dyDescent="0.15">
      <c r="A103" s="11" t="s">
        <v>853</v>
      </c>
      <c r="B103" s="11" t="s">
        <v>854</v>
      </c>
      <c r="C103" s="11" t="s">
        <v>496</v>
      </c>
      <c r="D103" s="11" t="s">
        <v>8</v>
      </c>
      <c r="E103" s="11" t="s">
        <v>599</v>
      </c>
      <c r="F103" s="11" t="s">
        <v>4</v>
      </c>
      <c r="G103" s="11" t="s">
        <v>594</v>
      </c>
      <c r="H103" s="11" t="s">
        <v>595</v>
      </c>
      <c r="I103" s="11" t="s">
        <v>596</v>
      </c>
      <c r="J103" s="14">
        <v>0</v>
      </c>
    </row>
    <row r="104" spans="1:10" ht="252" x14ac:dyDescent="0.15">
      <c r="A104" s="11" t="s">
        <v>857</v>
      </c>
      <c r="B104" s="11" t="s">
        <v>858</v>
      </c>
      <c r="C104" s="11" t="s">
        <v>444</v>
      </c>
      <c r="D104" s="11" t="s">
        <v>8</v>
      </c>
      <c r="E104" s="11" t="s">
        <v>608</v>
      </c>
      <c r="F104" s="11" t="s">
        <v>4</v>
      </c>
      <c r="G104" s="11" t="s">
        <v>594</v>
      </c>
      <c r="H104" s="11" t="s">
        <v>595</v>
      </c>
      <c r="I104" s="11" t="s">
        <v>596</v>
      </c>
      <c r="J104" s="14">
        <v>0</v>
      </c>
    </row>
    <row r="105" spans="1:10" ht="252" x14ac:dyDescent="0.15">
      <c r="A105" s="11" t="s">
        <v>859</v>
      </c>
      <c r="B105" s="11" t="s">
        <v>860</v>
      </c>
      <c r="C105" s="11" t="s">
        <v>452</v>
      </c>
      <c r="D105" s="11" t="s">
        <v>8</v>
      </c>
      <c r="E105" s="11" t="s">
        <v>673</v>
      </c>
      <c r="F105" s="11" t="s">
        <v>4</v>
      </c>
      <c r="G105" s="11" t="s">
        <v>594</v>
      </c>
      <c r="H105" s="11" t="s">
        <v>595</v>
      </c>
      <c r="I105" s="11" t="s">
        <v>596</v>
      </c>
      <c r="J105" s="14">
        <v>0</v>
      </c>
    </row>
    <row r="106" spans="1:10" ht="252" x14ac:dyDescent="0.15">
      <c r="A106" s="11" t="s">
        <v>861</v>
      </c>
      <c r="B106" s="11" t="s">
        <v>862</v>
      </c>
      <c r="C106" s="11" t="s">
        <v>424</v>
      </c>
      <c r="D106" s="11" t="s">
        <v>8</v>
      </c>
      <c r="E106" s="11" t="s">
        <v>608</v>
      </c>
      <c r="F106" s="11" t="s">
        <v>4</v>
      </c>
      <c r="G106" s="11" t="s">
        <v>594</v>
      </c>
      <c r="H106" s="11" t="s">
        <v>595</v>
      </c>
      <c r="I106" s="11" t="s">
        <v>596</v>
      </c>
      <c r="J106" s="14">
        <v>36.11</v>
      </c>
    </row>
    <row r="107" spans="1:10" ht="252" x14ac:dyDescent="0.15">
      <c r="A107" s="11" t="s">
        <v>863</v>
      </c>
      <c r="B107" s="11" t="s">
        <v>864</v>
      </c>
      <c r="C107" s="11" t="s">
        <v>568</v>
      </c>
      <c r="D107" s="11" t="s">
        <v>8</v>
      </c>
      <c r="E107" s="11" t="s">
        <v>749</v>
      </c>
      <c r="F107" s="11" t="s">
        <v>4</v>
      </c>
      <c r="G107" s="11" t="s">
        <v>594</v>
      </c>
      <c r="H107" s="11" t="s">
        <v>595</v>
      </c>
      <c r="I107" s="11" t="s">
        <v>596</v>
      </c>
      <c r="J107" s="14">
        <v>36.11</v>
      </c>
    </row>
    <row r="108" spans="1:10" ht="252" x14ac:dyDescent="0.15">
      <c r="A108" s="11" t="s">
        <v>865</v>
      </c>
      <c r="B108" s="11" t="s">
        <v>866</v>
      </c>
      <c r="C108" s="11" t="s">
        <v>292</v>
      </c>
      <c r="D108" s="11" t="s">
        <v>8</v>
      </c>
      <c r="E108" s="11" t="s">
        <v>608</v>
      </c>
      <c r="F108" s="11" t="s">
        <v>4</v>
      </c>
      <c r="G108" s="11" t="s">
        <v>594</v>
      </c>
      <c r="H108" s="11" t="s">
        <v>595</v>
      </c>
      <c r="I108" s="11" t="s">
        <v>596</v>
      </c>
      <c r="J108" s="14">
        <v>113.4</v>
      </c>
    </row>
    <row r="109" spans="1:10" x14ac:dyDescent="0.15">
      <c r="A109" s="11"/>
      <c r="B109" s="11"/>
      <c r="C109" s="11"/>
      <c r="D109" s="11"/>
      <c r="E109" s="11"/>
      <c r="F109" s="11"/>
      <c r="G109" s="11"/>
      <c r="H109" s="11"/>
      <c r="I109" s="11"/>
      <c r="J109" s="14">
        <v>4203.55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Filter</vt:lpstr>
      <vt:lpstr>Union Dues</vt:lpstr>
      <vt:lpstr>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Hess</dc:creator>
  <cp:lastModifiedBy>kelly Hess</cp:lastModifiedBy>
  <dcterms:created xsi:type="dcterms:W3CDTF">2026-04-06T14:51:54Z</dcterms:created>
  <dcterms:modified xsi:type="dcterms:W3CDTF">2026-04-08T17:43:49Z</dcterms:modified>
</cp:coreProperties>
</file>